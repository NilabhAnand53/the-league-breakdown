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ip_adddress_brother\"/>
    </mc:Choice>
  </mc:AlternateContent>
  <xr:revisionPtr revIDLastSave="0" documentId="13_ncr:1_{6C4052F3-3855-4065-863E-D3DC810672D0}" xr6:coauthVersionLast="47" xr6:coauthVersionMax="47" xr10:uidLastSave="{00000000-0000-0000-0000-000000000000}"/>
  <bookViews>
    <workbookView xWindow="-108" yWindow="-108" windowWidth="23256" windowHeight="12456" activeTab="3" xr2:uid="{2E75C86E-C6B1-487C-B3E4-D7E521503AF4}"/>
  </bookViews>
  <sheets>
    <sheet name="Team Summary" sheetId="8" r:id="rId1"/>
    <sheet name="Player Sumary" sheetId="11" r:id="rId2"/>
    <sheet name="Team Performance Dashboard" sheetId="12" r:id="rId3"/>
    <sheet name="Player Peformance Dashboard" sheetId="13" r:id="rId4"/>
    <sheet name="fact_player" sheetId="6" r:id="rId5"/>
    <sheet name="fact_match" sheetId="5" r:id="rId6"/>
    <sheet name="dim_venue" sheetId="4" r:id="rId7"/>
    <sheet name="dim_team" sheetId="3" r:id="rId8"/>
    <sheet name="dim_player" sheetId="2" r:id="rId9"/>
  </sheets>
  <definedNames>
    <definedName name="_xlcn.WorksheetConnection_Book1dim_player" hidden="1">dim_player[]</definedName>
    <definedName name="_xlcn.WorksheetConnection_Book1dim_team" hidden="1">dim_team[]</definedName>
    <definedName name="_xlcn.WorksheetConnection_Book1dim_venue" hidden="1">dim_venue[]</definedName>
    <definedName name="_xlcn.WorksheetConnection_Book1fact_match" hidden="1">fact_match[]</definedName>
    <definedName name="_xlcn.WorksheetConnection_Book1fact_player"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5" hidden="1">fact_match!$A$1:$N$61</definedName>
    <definedName name="ExternalData_5" localSheetId="4" hidden="1">fact_player!$A$1:$K$202</definedName>
    <definedName name="Slicer_Team_Name">#N/A</definedName>
    <definedName name="Slicer_Venue_Name">#N/A</definedName>
  </definedNames>
  <calcPr calcId="191029"/>
  <pivotCaches>
    <pivotCache cacheId="69" r:id="rId10"/>
    <pivotCache cacheId="70" r:id="rId11"/>
    <pivotCache cacheId="71" r:id="rId12"/>
    <pivotCache cacheId="72" r:id="rId13"/>
    <pivotCache cacheId="73" r:id="rId14"/>
    <pivotCache cacheId="74" r:id="rId15"/>
    <pivotCache cacheId="75" r:id="rId16"/>
    <pivotCache cacheId="76" r:id="rId17"/>
    <pivotCache cacheId="77" r:id="rId18"/>
    <pivotCache cacheId="78" r:id="rId19"/>
  </pivotCaches>
  <extLst>
    <ext xmlns:x14="http://schemas.microsoft.com/office/spreadsheetml/2009/9/main" uri="{876F7934-8845-4945-9796-88D515C7AA90}">
      <x14:pivotCaches>
        <pivotCache cacheId="79"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7" i="8" l="1"/>
  <c r="R6" i="13"/>
  <c r="P3" i="12"/>
  <c r="G3" i="12"/>
  <c r="L3" i="12"/>
  <c r="L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62717-84D4-417C-AED8-0EF0C8DA29F1}"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9FCC2DF9-9DB9-4DC2-B919-425B2D6308BF}"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433F3565-3979-4780-9792-EF5CA0987534}"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F566ABD5-5683-48F6-A153-7FC259C5DA5E}"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DAE6972D-2521-4B34-94B8-540C72D56FAF}"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8653024D-66CB-40DA-AB12-FB0D88E645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39ADF0B-B78B-491A-8E43-955D51CBFF63}"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
        </x15:connection>
      </ext>
    </extLst>
  </connection>
  <connection id="8" xr16:uid="{95D19113-1FF9-4F56-A16E-FFAD39EF6E08}"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
        </x15:connection>
      </ext>
    </extLst>
  </connection>
  <connection id="9" xr16:uid="{F46ECE9C-41DB-4321-AD6A-D89AD07B6024}"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
        </x15:connection>
      </ext>
    </extLst>
  </connection>
  <connection id="10" xr16:uid="{75888AB2-2B57-4E2B-AB9F-F82AFDB77C4B}"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
        </x15:connection>
      </ext>
    </extLst>
  </connection>
  <connection id="11" xr16:uid="{E6A1B385-85A2-4E45-93F4-B440954E90C2}"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
        </x15:connection>
      </ext>
    </extLst>
  </connection>
</connections>
</file>

<file path=xl/sharedStrings.xml><?xml version="1.0" encoding="utf-8"?>
<sst xmlns="http://schemas.openxmlformats.org/spreadsheetml/2006/main" count="1464" uniqueCount="381">
  <si>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</si>
  <si>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</si>
  <si>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</si>
  <si>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</si>
  <si>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</si>
  <si>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</si>
  <si>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</si>
  <si>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</si>
  <si>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</si>
  <si>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</si>
  <si>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</si>
  <si>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</si>
  <si>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</si>
  <si>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</si>
  <si>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</si>
  <si>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</si>
  <si>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</si>
  <si>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</si>
  <si>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</si>
  <si>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</si>
  <si>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</si>
  <si>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</si>
  <si>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</si>
  <si>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</si>
  <si>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</si>
  <si>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</si>
  <si>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</si>
  <si>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</si>
  <si>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</si>
  <si>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</si>
  <si>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</si>
  <si>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</si>
  <si>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</si>
  <si>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</si>
  <si>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</si>
  <si>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</si>
  <si>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</si>
  <si>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</si>
  <si>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</si>
  <si>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</si>
  <si>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</si>
  <si>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</si>
  <si>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</si>
  <si>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</si>
  <si>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</si>
  <si>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</si>
  <si>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</si>
  <si>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</si>
  <si>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</si>
  <si>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</si>
  <si>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</si>
  <si>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</si>
  <si>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</si>
  <si>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</si>
  <si>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</si>
  <si>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</si>
  <si>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</si>
  <si>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</si>
  <si>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</si>
  <si>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</si>
  <si>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</si>
  <si>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</si>
  <si>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</si>
  <si>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</si>
  <si>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</si>
  <si>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</si>
  <si>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</si>
  <si>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</si>
  <si>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</si>
  <si>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</si>
  <si>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</si>
  <si>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</si>
  <si>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</si>
  <si>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</si>
  <si>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</si>
  <si>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</si>
  <si>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</si>
  <si>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</si>
  <si>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</si>
  <si>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</si>
  <si>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</si>
  <si>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</si>
  <si>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</si>
  <si>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</si>
  <si>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</si>
  <si>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</si>
  <si>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</si>
  <si>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</si>
  <si>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</si>
  <si>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</si>
  <si>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</si>
  <si>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</si>
  <si>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</si>
  <si>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</si>
  <si>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</si>
  <si>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</si>
  <si>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</si>
  <si>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</si>
  <si>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</si>
  <si>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</si>
  <si>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</si>
  <si>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</si>
  <si>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</si>
  <si>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</si>
  <si>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</si>
  <si>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</si>
  <si>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</si>
  <si>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</si>
  <si>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</si>
  <si>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</si>
  <si>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</si>
  <si>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</si>
  <si>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</si>
  <si>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</si>
  <si>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</si>
  <si>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</si>
  <si>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</si>
  <si>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</si>
  <si>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</si>
  <si>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</si>
  <si>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</si>
  <si>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</si>
  <si>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</si>
  <si>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</si>
  <si>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</si>
  <si>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</si>
  <si>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</si>
  <si>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</si>
  <si>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</si>
  <si>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</si>
  <si>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</si>
  <si>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</si>
  <si>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</si>
  <si>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</si>
  <si>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</si>
  <si>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</si>
  <si>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</si>
  <si>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</si>
  <si>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</si>
  <si>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</si>
  <si>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</si>
  <si>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</si>
  <si>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</si>
  <si>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</si>
  <si>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</si>
  <si>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</si>
  <si>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</si>
  <si>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</si>
  <si>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</si>
  <si>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</si>
  <si>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</si>
  <si>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</si>
  <si>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</si>
  <si>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</si>
  <si>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</si>
  <si>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</si>
  <si>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</si>
  <si>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</si>
  <si>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</si>
  <si>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</si>
  <si>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</si>
  <si>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</si>
  <si>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</si>
  <si>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</si>
  <si>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</si>
  <si>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</si>
  <si>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</si>
  <si>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</si>
  <si>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</si>
  <si>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</si>
  <si>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</si>
  <si>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</si>
  <si>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</si>
  <si>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</si>
  <si>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</si>
  <si>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</si>
  <si>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</si>
  <si>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</si>
  <si>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</si>
  <si>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</si>
  <si>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</si>
  <si>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</si>
  <si>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</si>
  <si>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</si>
  <si>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</si>
  <si>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</si>
  <si>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</si>
  <si>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</si>
  <si>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</si>
  <si>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</si>
  <si>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</si>
  <si>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</si>
  <si>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</si>
  <si>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</si>
  <si>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</si>
  <si>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</si>
  <si>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</si>
  <si>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</si>
  <si>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</si>
  <si>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</si>
  <si>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</si>
  <si>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</si>
  <si>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</si>
  <si>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</si>
  <si>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</si>
  <si>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</si>
  <si>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</si>
  <si>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</si>
  <si>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</si>
  <si>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</si>
  <si>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</si>
  <si>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</si>
  <si>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</si>
  <si>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</si>
  <si>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</si>
  <si>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</si>
  <si>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</si>
  <si>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</si>
  <si>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</si>
  <si>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</si>
  <si>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</si>
  <si>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</si>
  <si>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</si>
  <si>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</si>
  <si>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</si>
  <si>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</si>
  <si>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</si>
  <si>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</si>
  <si>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</si>
  <si>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</si>
  <si>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</si>
  <si>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</si>
  <si>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</si>
  <si>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</si>
  <si>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</si>
  <si>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</si>
  <si>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</si>
  <si>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</si>
  <si>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</si>
  <si>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</si>
  <si>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</si>
  <si>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</si>
  <si>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</si>
  <si>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</si>
  <si>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</si>
  <si>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</si>
  <si>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</si>
  <si>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</si>
  <si>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</si>
  <si>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</si>
  <si>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</si>
  <si>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</si>
  <si>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</si>
  <si>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</si>
  <si>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</si>
  <si>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</si>
  <si>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</si>
  <si>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</si>
  <si>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</si>
  <si>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</si>
  <si>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</si>
  <si>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</si>
  <si>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</si>
  <si>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</si>
  <si>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</si>
  <si>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</si>
  <si>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</si>
  <si>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</si>
  <si>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</si>
  <si>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</si>
  <si>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</si>
  <si>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</si>
  <si>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</si>
  <si>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</si>
  <si>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</si>
  <si>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</si>
  <si>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</si>
  <si>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</si>
  <si>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</si>
  <si>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</si>
  <si>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</si>
  <si>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</si>
  <si>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</si>
  <si>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</si>
  <si>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</si>
  <si>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</si>
  <si>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</si>
  <si>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</si>
  <si>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</si>
  <si>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</si>
  <si>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</si>
  <si>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</si>
  <si>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</si>
  <si>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</si>
  <si>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</si>
  <si>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</si>
  <si>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</si>
  <si>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</si>
  <si>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</si>
  <si>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</si>
  <si>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</si>
  <si>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</si>
  <si>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</si>
  <si>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</si>
  <si>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</si>
  <si>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</si>
  <si>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</si>
  <si>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</si>
  <si>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</si>
  <si>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</si>
  <si>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</si>
  <si>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</si>
  <si>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</si>
  <si>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</si>
  <si>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</si>
  <si>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</si>
  <si>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</si>
  <si>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</si>
  <si>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</si>
  <si>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</si>
  <si>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</si>
  <si>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</si>
  <si>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</si>
  <si>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</si>
  <si>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</si>
  <si>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</si>
  <si>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</si>
  <si>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</si>
  <si>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</si>
  <si>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</si>
  <si>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</si>
  <si>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</si>
  <si>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</si>
  <si>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</si>
  <si>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</si>
  <si>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</si>
  <si>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</si>
  <si>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</si>
  <si>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</si>
  <si>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</si>
  <si>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</si>
  <si>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</si>
  <si>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</si>
  <si>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</si>
  <si>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</si>
  <si>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</si>
  <si>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</si>
  <si>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</si>
  <si>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</si>
  <si>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</si>
  <si>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</si>
  <si>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</si>
  <si>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</si>
  <si>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</si>
  <si>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</si>
  <si>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</si>
  <si>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</si>
  <si>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</si>
  <si>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</si>
  <si>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</si>
  <si>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</si>
  <si>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</si>
  <si>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</si>
  <si>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Grand Total</t>
  </si>
  <si>
    <t>Total Runs</t>
  </si>
  <si>
    <t>Total_Wickets</t>
  </si>
  <si>
    <t>TeamWins</t>
  </si>
  <si>
    <t>Matches_Played</t>
  </si>
  <si>
    <t>Player Runs</t>
  </si>
  <si>
    <t>Player Wickets</t>
  </si>
  <si>
    <t>Average of Strike_Rate</t>
  </si>
  <si>
    <t>Average of Economy</t>
  </si>
  <si>
    <t>Team Name</t>
  </si>
  <si>
    <t>Win_by_runs</t>
  </si>
  <si>
    <t>Win_by_wickets</t>
  </si>
  <si>
    <t>Total Matches</t>
  </si>
  <si>
    <t>Venue Name</t>
  </si>
  <si>
    <t>Player Name</t>
  </si>
  <si>
    <t>(blank)</t>
  </si>
  <si>
    <t>Runs Conceded</t>
  </si>
  <si>
    <t>Wickets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</si>
</sst>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8"/>
      <color theme="1"/>
      <name val="Aptos Narrow"/>
      <family val="2"/>
      <scheme val="minor"/>
    </font>
    <font>
      <sz val="22"/>
      <color theme="1"/>
      <name val="Aptos Narrow"/>
      <family val="2"/>
      <scheme val="minor"/>
    </font>
  </fonts>
  <fills count="9">
    <fill>
      <patternFill patternType="none"/>
    </fill>
    <fill>
      <patternFill patternType="gray125"/>
    </fill>
    <fill>
      <patternFill patternType="solid">
        <fgColor rgb="FFFFFF99"/>
        <bgColor indexed="64"/>
      </patternFill>
    </fill>
    <fill>
      <patternFill patternType="solid">
        <fgColor theme="1" tint="0.499984740745262"/>
        <bgColor indexed="64"/>
      </patternFill>
    </fill>
    <fill>
      <patternFill patternType="solid">
        <fgColor rgb="FF92D050"/>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4" fontId="0" fillId="0" borderId="0" xfId="0" applyNumberFormat="1"/>
    <xf numFmtId="0" fontId="0" fillId="3" borderId="0" xfId="0" applyFill="1"/>
    <xf numFmtId="0" fontId="0" fillId="5" borderId="0" xfId="0" applyFill="1"/>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4" fontId="2" fillId="2" borderId="0" xfId="0" applyNumberFormat="1" applyFont="1" applyFill="1" applyAlignment="1">
      <alignment horizontal="center" vertical="center"/>
    </xf>
    <xf numFmtId="4" fontId="2" fillId="4" borderId="0" xfId="0" applyNumberFormat="1" applyFont="1" applyFill="1" applyAlignment="1">
      <alignment horizontal="center" vertical="center"/>
    </xf>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1.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[project.xlsx]Team Summary!PivotTable6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2-E846-477A-B815-4A715F9EBA20}"/>
            </c:ext>
          </c:extLst>
        </c:ser>
        <c:dLbls>
          <c:showLegendKey val="0"/>
          <c:showVal val="1"/>
          <c:showCatName val="0"/>
          <c:showSerName val="0"/>
          <c:showPercent val="0"/>
          <c:showBubbleSize val="0"/>
        </c:dLbls>
        <c:gapWidth val="150"/>
        <c:shape val="box"/>
        <c:axId val="179965392"/>
        <c:axId val="1765179343"/>
        <c:axId val="0"/>
      </c:bar3DChart>
      <c:catAx>
        <c:axId val="17996539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79343"/>
        <c:crosses val="autoZero"/>
        <c:auto val="1"/>
        <c:lblAlgn val="ctr"/>
        <c:lblOffset val="100"/>
        <c:noMultiLvlLbl val="0"/>
      </c:catAx>
      <c:valAx>
        <c:axId val="176517934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6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[project.xlsx]Team Summary!PivotTable7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Summary'!$H$3</c:f>
              <c:strCache>
                <c:ptCount val="1"/>
                <c:pt idx="0">
                  <c:v>Total</c:v>
                </c:pt>
              </c:strCache>
            </c:strRef>
          </c:tx>
          <c:spPr>
            <a:solidFill>
              <a:schemeClr val="accent6"/>
            </a:solidFill>
            <a:ln>
              <a:noFill/>
            </a:ln>
            <a:effectLst/>
            <a:sp3d/>
          </c:spPr>
          <c:invertIfNegative val="0"/>
          <c:cat>
            <c:strRef>
              <c:f>'Team Summary'!$G$4:$G$12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Summary'!$H$4:$H$12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542B-4DBD-80F9-31F6949F1F8D}"/>
            </c:ext>
          </c:extLst>
        </c:ser>
        <c:dLbls>
          <c:showLegendKey val="0"/>
          <c:showVal val="0"/>
          <c:showCatName val="0"/>
          <c:showSerName val="0"/>
          <c:showPercent val="0"/>
          <c:showBubbleSize val="0"/>
        </c:dLbls>
        <c:gapWidth val="150"/>
        <c:shape val="box"/>
        <c:axId val="180063296"/>
        <c:axId val="314383920"/>
        <c:axId val="0"/>
      </c:bar3DChart>
      <c:catAx>
        <c:axId val="18006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83920"/>
        <c:crosses val="autoZero"/>
        <c:auto val="1"/>
        <c:lblAlgn val="ctr"/>
        <c:lblOffset val="100"/>
        <c:noMultiLvlLbl val="0"/>
      </c:catAx>
      <c:valAx>
        <c:axId val="314383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[project.xlsx]Team Summary!PivotTable1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39DC-49CD-8218-9D4A8B103BC2}"/>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39DC-49CD-8218-9D4A8B103BC2}"/>
              </c:ext>
            </c:extLst>
          </c:dPt>
          <c:cat>
            <c:strRef>
              <c:f>'Team Summary'!$K$4:$K$6</c:f>
              <c:strCache>
                <c:ptCount val="2"/>
                <c:pt idx="0">
                  <c:v>Win_by_runs</c:v>
                </c:pt>
                <c:pt idx="1">
                  <c:v>Win_by_wickets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4-9508-4098-86CE-6B5DBADB61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[project.xlsx]Team Summary!PivotTable3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Summary'!$H$14</c:f>
              <c:strCache>
                <c:ptCount val="1"/>
                <c:pt idx="0">
                  <c:v>Total</c:v>
                </c:pt>
              </c:strCache>
            </c:strRef>
          </c:tx>
          <c:spPr>
            <a:solidFill>
              <a:schemeClr val="accent1"/>
            </a:solidFill>
            <a:ln>
              <a:noFill/>
            </a:ln>
            <a:effectLst/>
          </c:spPr>
          <c:invertIfNegative val="0"/>
          <c:cat>
            <c:strRef>
              <c:f>'Team Summary'!$G$15:$G$23</c:f>
              <c:strCache>
                <c:ptCount val="8"/>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strCache>
            </c:strRef>
          </c:cat>
          <c:val>
            <c:numRef>
              <c:f>'Team Summary'!$H$15:$H$23</c:f>
              <c:numCache>
                <c:formatCode>General</c:formatCode>
                <c:ptCount val="8"/>
                <c:pt idx="0">
                  <c:v>7</c:v>
                </c:pt>
                <c:pt idx="1">
                  <c:v>8</c:v>
                </c:pt>
                <c:pt idx="2">
                  <c:v>8</c:v>
                </c:pt>
                <c:pt idx="3">
                  <c:v>7</c:v>
                </c:pt>
                <c:pt idx="4">
                  <c:v>7</c:v>
                </c:pt>
                <c:pt idx="5">
                  <c:v>8</c:v>
                </c:pt>
                <c:pt idx="6">
                  <c:v>7</c:v>
                </c:pt>
                <c:pt idx="7">
                  <c:v>8</c:v>
                </c:pt>
              </c:numCache>
            </c:numRef>
          </c:val>
          <c:extLst>
            <c:ext xmlns:c16="http://schemas.microsoft.com/office/drawing/2014/chart" uri="{C3380CC4-5D6E-409C-BE32-E72D297353CC}">
              <c16:uniqueId val="{00000000-AADD-43E4-8385-BD55EABDC51A}"/>
            </c:ext>
          </c:extLst>
        </c:ser>
        <c:dLbls>
          <c:showLegendKey val="0"/>
          <c:showVal val="0"/>
          <c:showCatName val="0"/>
          <c:showSerName val="0"/>
          <c:showPercent val="0"/>
          <c:showBubbleSize val="0"/>
        </c:dLbls>
        <c:gapWidth val="150"/>
        <c:overlap val="100"/>
        <c:axId val="1914831599"/>
        <c:axId val="1330978415"/>
      </c:barChart>
      <c:catAx>
        <c:axId val="1914831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78415"/>
        <c:crosses val="autoZero"/>
        <c:auto val="1"/>
        <c:lblAlgn val="ctr"/>
        <c:lblOffset val="100"/>
        <c:noMultiLvlLbl val="0"/>
      </c:catAx>
      <c:valAx>
        <c:axId val="133097841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[project.xlsx]Player Sumary!PivotTable4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Runs Scored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Sumary'!$J$3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F633-448D-92EA-2C2BEEDF46A1}"/>
            </c:ext>
          </c:extLst>
        </c:ser>
        <c:dLbls>
          <c:dLblPos val="t"/>
          <c:showLegendKey val="0"/>
          <c:showVal val="1"/>
          <c:showCatName val="0"/>
          <c:showSerName val="0"/>
          <c:showPercent val="0"/>
          <c:showBubbleSize val="0"/>
        </c:dLbls>
        <c:marker val="1"/>
        <c:smooth val="0"/>
        <c:axId val="53962352"/>
        <c:axId val="1144394895"/>
      </c:lineChart>
      <c:catAx>
        <c:axId val="539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94895"/>
        <c:crosses val="autoZero"/>
        <c:auto val="1"/>
        <c:lblAlgn val="ctr"/>
        <c:lblOffset val="100"/>
        <c:noMultiLvlLbl val="0"/>
      </c:catAx>
      <c:valAx>
        <c:axId val="114439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[project.xlsx]Player Sumary!PivotTable6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Wickets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Sumary'!$B$40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Sumary'!$A$41:$A$74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Sumary'!$B$41:$B$74</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A5EB-47DF-B843-79632497B1F4}"/>
            </c:ext>
          </c:extLst>
        </c:ser>
        <c:dLbls>
          <c:dLblPos val="t"/>
          <c:showLegendKey val="0"/>
          <c:showVal val="1"/>
          <c:showCatName val="0"/>
          <c:showSerName val="0"/>
          <c:showPercent val="0"/>
          <c:showBubbleSize val="0"/>
        </c:dLbls>
        <c:marker val="1"/>
        <c:smooth val="0"/>
        <c:axId val="358953808"/>
        <c:axId val="1331040815"/>
      </c:lineChart>
      <c:catAx>
        <c:axId val="3589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40815"/>
        <c:crosses val="autoZero"/>
        <c:auto val="1"/>
        <c:lblAlgn val="ctr"/>
        <c:lblOffset val="100"/>
        <c:noMultiLvlLbl val="0"/>
      </c:catAx>
      <c:valAx>
        <c:axId val="133104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[project.xlsx]Player Sumary!PivotTable8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a:t>
            </a:r>
            <a:r>
              <a:rPr lang="en-US" baseline="0"/>
              <a:t> Average Strike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'Player Sumary'!$E$40</c:f>
              <c:strCache>
                <c:ptCount val="1"/>
                <c:pt idx="0">
                  <c:v>Total</c:v>
                </c:pt>
              </c:strCache>
            </c:strRef>
          </c:tx>
          <c:spPr>
            <a:solidFill>
              <a:schemeClr val="accent3"/>
            </a:solidFill>
            <a:ln>
              <a:noFill/>
            </a:ln>
            <a:effectLst/>
          </c:spPr>
          <c:invertIfNegative val="0"/>
          <c:cat>
            <c:strRef>
              <c:f>'Player Sumary'!$D$41:$D$74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Sumary'!$E$41:$E$74</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748B-4C8A-B695-65042BE482A2}"/>
            </c:ext>
          </c:extLst>
        </c:ser>
        <c:dLbls>
          <c:showLegendKey val="0"/>
          <c:showVal val="0"/>
          <c:showCatName val="0"/>
          <c:showSerName val="0"/>
          <c:showPercent val="0"/>
          <c:showBubbleSize val="0"/>
        </c:dLbls>
        <c:gapWidth val="150"/>
        <c:overlap val="100"/>
        <c:axId val="358936640"/>
        <c:axId val="1331023055"/>
      </c:barChart>
      <c:catAx>
        <c:axId val="35893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23055"/>
        <c:crosses val="autoZero"/>
        <c:auto val="1"/>
        <c:lblAlgn val="ctr"/>
        <c:lblOffset val="100"/>
        <c:noMultiLvlLbl val="0"/>
      </c:catAx>
      <c:valAx>
        <c:axId val="133102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[project.xlsx]Player Sumary!PivotTable9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Average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'Player Sumary'!$B$77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E8-4E2A-99FE-9B3112BE00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E8-4E2A-99FE-9B3112BE00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E8-4E2A-99FE-9B3112BE00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E8-4E2A-99FE-9B3112BE00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E8-4E2A-99FE-9B3112BE002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E8-4E2A-99FE-9B3112BE002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E8-4E2A-99FE-9B3112BE002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6E8-4E2A-99FE-9B3112BE002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6E8-4E2A-99FE-9B3112BE002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6E8-4E2A-99FE-9B3112BE002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6E8-4E2A-99FE-9B3112BE002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6E8-4E2A-99FE-9B3112BE002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6E8-4E2A-99FE-9B3112BE002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6E8-4E2A-99FE-9B3112BE002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6E8-4E2A-99FE-9B3112BE002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6E8-4E2A-99FE-9B3112BE002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6E8-4E2A-99FE-9B3112BE002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6E8-4E2A-99FE-9B3112BE002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6E8-4E2A-99FE-9B3112BE002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6E8-4E2A-99FE-9B3112BE002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6E8-4E2A-99FE-9B3112BE002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D6E8-4E2A-99FE-9B3112BE002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D6E8-4E2A-99FE-9B3112BE002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6E8-4E2A-99FE-9B3112BE002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D6E8-4E2A-99FE-9B3112BE002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D6E8-4E2A-99FE-9B3112BE002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D6E8-4E2A-99FE-9B3112BE002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6E8-4E2A-99FE-9B3112BE002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D6E8-4E2A-99FE-9B3112BE002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D6E8-4E2A-99FE-9B3112BE002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D6E8-4E2A-99FE-9B3112BE002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D6E8-4E2A-99FE-9B3112BE002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D6E8-4E2A-99FE-9B3112BE00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Sumary'!$A$78:$A$111</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Sumary'!$B$78:$B$111</c:f>
              <c:numCache>
                <c:formatCode>#,##0.00</c:formatCode>
                <c:ptCount val="33"/>
                <c:pt idx="0">
                  <c:v>0</c:v>
                </c:pt>
                <c:pt idx="1">
                  <c:v>7.7142857142857144</c:v>
                </c:pt>
                <c:pt idx="2">
                  <c:v>7.25</c:v>
                </c:pt>
                <c:pt idx="3">
                  <c:v>6</c:v>
                </c:pt>
                <c:pt idx="4">
                  <c:v>8.125</c:v>
                </c:pt>
                <c:pt idx="5">
                  <c:v>0</c:v>
                </c:pt>
                <c:pt idx="6">
                  <c:v>0</c:v>
                </c:pt>
                <c:pt idx="7">
                  <c:v>6.7142857142857144</c:v>
                </c:pt>
                <c:pt idx="8">
                  <c:v>0</c:v>
                </c:pt>
                <c:pt idx="9">
                  <c:v>1.75</c:v>
                </c:pt>
                <c:pt idx="10">
                  <c:v>6.25</c:v>
                </c:pt>
                <c:pt idx="11">
                  <c:v>0</c:v>
                </c:pt>
                <c:pt idx="12">
                  <c:v>0</c:v>
                </c:pt>
                <c:pt idx="13">
                  <c:v>6.9249999999999998</c:v>
                </c:pt>
                <c:pt idx="14">
                  <c:v>0</c:v>
                </c:pt>
                <c:pt idx="15">
                  <c:v>0</c:v>
                </c:pt>
                <c:pt idx="16">
                  <c:v>8.1</c:v>
                </c:pt>
                <c:pt idx="17">
                  <c:v>4.5999999999999996</c:v>
                </c:pt>
                <c:pt idx="18">
                  <c:v>0</c:v>
                </c:pt>
                <c:pt idx="19">
                  <c:v>5.25</c:v>
                </c:pt>
                <c:pt idx="20">
                  <c:v>3.3333333333333335</c:v>
                </c:pt>
                <c:pt idx="21">
                  <c:v>8.25</c:v>
                </c:pt>
                <c:pt idx="22">
                  <c:v>0</c:v>
                </c:pt>
                <c:pt idx="23">
                  <c:v>0</c:v>
                </c:pt>
                <c:pt idx="24">
                  <c:v>6.3125</c:v>
                </c:pt>
                <c:pt idx="25">
                  <c:v>0</c:v>
                </c:pt>
                <c:pt idx="26">
                  <c:v>0</c:v>
                </c:pt>
                <c:pt idx="27">
                  <c:v>0</c:v>
                </c:pt>
                <c:pt idx="28">
                  <c:v>5.85</c:v>
                </c:pt>
                <c:pt idx="29">
                  <c:v>5.9219999999999997</c:v>
                </c:pt>
                <c:pt idx="30">
                  <c:v>0</c:v>
                </c:pt>
                <c:pt idx="31">
                  <c:v>0</c:v>
                </c:pt>
                <c:pt idx="32">
                  <c:v>7.5</c:v>
                </c:pt>
              </c:numCache>
            </c:numRef>
          </c:val>
          <c:extLst>
            <c:ext xmlns:c16="http://schemas.microsoft.com/office/drawing/2014/chart" uri="{C3380CC4-5D6E-409C-BE32-E72D297353CC}">
              <c16:uniqueId val="{00000000-B8B0-4ABC-A062-7CDB7E7395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[project.xlsx]Team Summary!PivotTable1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5C72-4739-813B-E75961497A0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5C72-4739-813B-E75961497A0D}"/>
              </c:ext>
            </c:extLst>
          </c:dPt>
          <c:cat>
            <c:strRef>
              <c:f>'Team Summary'!$K$4:$K$6</c:f>
              <c:strCache>
                <c:ptCount val="2"/>
                <c:pt idx="0">
                  <c:v>Win_by_runs</c:v>
                </c:pt>
                <c:pt idx="1">
                  <c:v>Win_by_wickets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4-FD1D-4033-8D36-C935B1ADF5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[project.xlsx]Team Summary!PivotTable6</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3-BEDC-467B-A49F-F729395B442A}"/>
            </c:ext>
          </c:extLst>
        </c:ser>
        <c:dLbls>
          <c:showLegendKey val="0"/>
          <c:showVal val="1"/>
          <c:showCatName val="0"/>
          <c:showSerName val="0"/>
          <c:showPercent val="0"/>
          <c:showBubbleSize val="0"/>
        </c:dLbls>
        <c:gapWidth val="150"/>
        <c:shape val="box"/>
        <c:axId val="179965392"/>
        <c:axId val="1765179343"/>
        <c:axId val="0"/>
      </c:bar3DChart>
      <c:catAx>
        <c:axId val="17996539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79343"/>
        <c:crosses val="autoZero"/>
        <c:auto val="1"/>
        <c:lblAlgn val="ctr"/>
        <c:lblOffset val="100"/>
        <c:noMultiLvlLbl val="0"/>
      </c:catAx>
      <c:valAx>
        <c:axId val="176517934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6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[project.xlsx]Team Summary!PivotTable3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Summary'!$H$14</c:f>
              <c:strCache>
                <c:ptCount val="1"/>
                <c:pt idx="0">
                  <c:v>Total</c:v>
                </c:pt>
              </c:strCache>
            </c:strRef>
          </c:tx>
          <c:spPr>
            <a:solidFill>
              <a:schemeClr val="accent1"/>
            </a:solidFill>
            <a:ln>
              <a:noFill/>
            </a:ln>
            <a:effectLst/>
          </c:spPr>
          <c:invertIfNegative val="0"/>
          <c:cat>
            <c:strRef>
              <c:f>'Team Summary'!$G$15:$G$23</c:f>
              <c:strCache>
                <c:ptCount val="8"/>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strCache>
            </c:strRef>
          </c:cat>
          <c:val>
            <c:numRef>
              <c:f>'Team Summary'!$H$15:$H$23</c:f>
              <c:numCache>
                <c:formatCode>General</c:formatCode>
                <c:ptCount val="8"/>
                <c:pt idx="0">
                  <c:v>7</c:v>
                </c:pt>
                <c:pt idx="1">
                  <c:v>8</c:v>
                </c:pt>
                <c:pt idx="2">
                  <c:v>8</c:v>
                </c:pt>
                <c:pt idx="3">
                  <c:v>7</c:v>
                </c:pt>
                <c:pt idx="4">
                  <c:v>7</c:v>
                </c:pt>
                <c:pt idx="5">
                  <c:v>8</c:v>
                </c:pt>
                <c:pt idx="6">
                  <c:v>7</c:v>
                </c:pt>
                <c:pt idx="7">
                  <c:v>8</c:v>
                </c:pt>
              </c:numCache>
            </c:numRef>
          </c:val>
          <c:extLst>
            <c:ext xmlns:c16="http://schemas.microsoft.com/office/drawing/2014/chart" uri="{C3380CC4-5D6E-409C-BE32-E72D297353CC}">
              <c16:uniqueId val="{00000000-1DD1-4C64-A67A-9DCEB71B4249}"/>
            </c:ext>
          </c:extLst>
        </c:ser>
        <c:dLbls>
          <c:showLegendKey val="0"/>
          <c:showVal val="0"/>
          <c:showCatName val="0"/>
          <c:showSerName val="0"/>
          <c:showPercent val="0"/>
          <c:showBubbleSize val="0"/>
        </c:dLbls>
        <c:gapWidth val="150"/>
        <c:overlap val="100"/>
        <c:axId val="1914831599"/>
        <c:axId val="1330978415"/>
      </c:barChart>
      <c:catAx>
        <c:axId val="1914831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78415"/>
        <c:crosses val="autoZero"/>
        <c:auto val="1"/>
        <c:lblAlgn val="ctr"/>
        <c:lblOffset val="100"/>
        <c:noMultiLvlLbl val="0"/>
      </c:catAx>
      <c:valAx>
        <c:axId val="133097841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[project.xlsx]Team Summary!PivotTable7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Summary'!$H$3</c:f>
              <c:strCache>
                <c:ptCount val="1"/>
                <c:pt idx="0">
                  <c:v>Total</c:v>
                </c:pt>
              </c:strCache>
            </c:strRef>
          </c:tx>
          <c:spPr>
            <a:solidFill>
              <a:schemeClr val="accent6"/>
            </a:solidFill>
            <a:ln>
              <a:noFill/>
            </a:ln>
            <a:effectLst/>
            <a:sp3d/>
          </c:spPr>
          <c:invertIfNegative val="0"/>
          <c:cat>
            <c:strRef>
              <c:f>'Team Summary'!$G$4:$G$12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Summary'!$H$4:$H$12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C196-473E-928B-9876B6A79299}"/>
            </c:ext>
          </c:extLst>
        </c:ser>
        <c:dLbls>
          <c:showLegendKey val="0"/>
          <c:showVal val="0"/>
          <c:showCatName val="0"/>
          <c:showSerName val="0"/>
          <c:showPercent val="0"/>
          <c:showBubbleSize val="0"/>
        </c:dLbls>
        <c:gapWidth val="150"/>
        <c:shape val="box"/>
        <c:axId val="180063296"/>
        <c:axId val="314383920"/>
        <c:axId val="0"/>
      </c:bar3DChart>
      <c:catAx>
        <c:axId val="18006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83920"/>
        <c:crosses val="autoZero"/>
        <c:auto val="1"/>
        <c:lblAlgn val="ctr"/>
        <c:lblOffset val="100"/>
        <c:noMultiLvlLbl val="0"/>
      </c:catAx>
      <c:valAx>
        <c:axId val="314383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[project.xlsx]Player Sumary!PivotTable4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Runs Scored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Sumary'!$J$3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8D35-4314-AADA-4DC6C3F56C69}"/>
            </c:ext>
          </c:extLst>
        </c:ser>
        <c:dLbls>
          <c:dLblPos val="t"/>
          <c:showLegendKey val="0"/>
          <c:showVal val="1"/>
          <c:showCatName val="0"/>
          <c:showSerName val="0"/>
          <c:showPercent val="0"/>
          <c:showBubbleSize val="0"/>
        </c:dLbls>
        <c:marker val="1"/>
        <c:smooth val="0"/>
        <c:axId val="53962352"/>
        <c:axId val="1144394895"/>
      </c:lineChart>
      <c:catAx>
        <c:axId val="539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94895"/>
        <c:crosses val="autoZero"/>
        <c:auto val="1"/>
        <c:lblAlgn val="ctr"/>
        <c:lblOffset val="100"/>
        <c:noMultiLvlLbl val="0"/>
      </c:catAx>
      <c:valAx>
        <c:axId val="114439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[project.xlsx]Player Sumary!PivotTable6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Wickets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Sumary'!$B$40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Sumary'!$A$41:$A$74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Sumary'!$B$41:$B$74</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C212-4544-AED4-AF94B36DBDA1}"/>
            </c:ext>
          </c:extLst>
        </c:ser>
        <c:dLbls>
          <c:dLblPos val="t"/>
          <c:showLegendKey val="0"/>
          <c:showVal val="1"/>
          <c:showCatName val="0"/>
          <c:showSerName val="0"/>
          <c:showPercent val="0"/>
          <c:showBubbleSize val="0"/>
        </c:dLbls>
        <c:marker val="1"/>
        <c:smooth val="0"/>
        <c:axId val="358953808"/>
        <c:axId val="1331040815"/>
      </c:lineChart>
      <c:catAx>
        <c:axId val="3589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40815"/>
        <c:crosses val="autoZero"/>
        <c:auto val="1"/>
        <c:lblAlgn val="ctr"/>
        <c:lblOffset val="100"/>
        <c:noMultiLvlLbl val="0"/>
      </c:catAx>
      <c:valAx>
        <c:axId val="133104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[project.xlsx]Player Sumary!PivotTable8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a:t>
            </a:r>
            <a:r>
              <a:rPr lang="en-US" baseline="0"/>
              <a:t> Average Strike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'Player Sumary'!$E$40</c:f>
              <c:strCache>
                <c:ptCount val="1"/>
                <c:pt idx="0">
                  <c:v>Total</c:v>
                </c:pt>
              </c:strCache>
            </c:strRef>
          </c:tx>
          <c:spPr>
            <a:solidFill>
              <a:schemeClr val="accent3"/>
            </a:solidFill>
            <a:ln>
              <a:noFill/>
            </a:ln>
            <a:effectLst/>
          </c:spPr>
          <c:invertIfNegative val="0"/>
          <c:cat>
            <c:strRef>
              <c:f>'Player Sumary'!$D$41:$D$74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Sumary'!$E$41:$E$74</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2510-47F0-983D-FC16AC4470B8}"/>
            </c:ext>
          </c:extLst>
        </c:ser>
        <c:dLbls>
          <c:showLegendKey val="0"/>
          <c:showVal val="0"/>
          <c:showCatName val="0"/>
          <c:showSerName val="0"/>
          <c:showPercent val="0"/>
          <c:showBubbleSize val="0"/>
        </c:dLbls>
        <c:gapWidth val="150"/>
        <c:overlap val="100"/>
        <c:axId val="358936640"/>
        <c:axId val="1331023055"/>
      </c:barChart>
      <c:catAx>
        <c:axId val="35893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23055"/>
        <c:crosses val="autoZero"/>
        <c:auto val="1"/>
        <c:lblAlgn val="ctr"/>
        <c:lblOffset val="100"/>
        <c:noMultiLvlLbl val="0"/>
      </c:catAx>
      <c:valAx>
        <c:axId val="133102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[project.xlsx]Player Sumary!PivotTable9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Average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 Sumary'!$B$77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0A-450D-BD4E-46B931F7AC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0A-450D-BD4E-46B931F7AC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0A-450D-BD4E-46B931F7AC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0A-450D-BD4E-46B931F7AC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0A-450D-BD4E-46B931F7AC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0A-450D-BD4E-46B931F7AC2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60A-450D-BD4E-46B931F7AC2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60A-450D-BD4E-46B931F7AC2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60A-450D-BD4E-46B931F7AC2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60A-450D-BD4E-46B931F7AC2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60A-450D-BD4E-46B931F7AC2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60A-450D-BD4E-46B931F7AC2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60A-450D-BD4E-46B931F7AC2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60A-450D-BD4E-46B931F7AC2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60A-450D-BD4E-46B931F7AC2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60A-450D-BD4E-46B931F7AC2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60A-450D-BD4E-46B931F7AC2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60A-450D-BD4E-46B931F7AC2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60A-450D-BD4E-46B931F7AC2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60A-450D-BD4E-46B931F7AC2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60A-450D-BD4E-46B931F7AC2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60A-450D-BD4E-46B931F7AC2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60A-450D-BD4E-46B931F7AC2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60A-450D-BD4E-46B931F7AC2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60A-450D-BD4E-46B931F7AC2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60A-450D-BD4E-46B931F7AC2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60A-450D-BD4E-46B931F7AC2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60A-450D-BD4E-46B931F7AC2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60A-450D-BD4E-46B931F7AC2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60A-450D-BD4E-46B931F7AC2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60A-450D-BD4E-46B931F7AC2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60A-450D-BD4E-46B931F7AC2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60A-450D-BD4E-46B931F7AC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Sumary'!$A$78:$A$111</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Sumary'!$B$78:$B$111</c:f>
              <c:numCache>
                <c:formatCode>#,##0.00</c:formatCode>
                <c:ptCount val="33"/>
                <c:pt idx="0">
                  <c:v>0</c:v>
                </c:pt>
                <c:pt idx="1">
                  <c:v>7.7142857142857144</c:v>
                </c:pt>
                <c:pt idx="2">
                  <c:v>7.25</c:v>
                </c:pt>
                <c:pt idx="3">
                  <c:v>6</c:v>
                </c:pt>
                <c:pt idx="4">
                  <c:v>8.125</c:v>
                </c:pt>
                <c:pt idx="5">
                  <c:v>0</c:v>
                </c:pt>
                <c:pt idx="6">
                  <c:v>0</c:v>
                </c:pt>
                <c:pt idx="7">
                  <c:v>6.7142857142857144</c:v>
                </c:pt>
                <c:pt idx="8">
                  <c:v>0</c:v>
                </c:pt>
                <c:pt idx="9">
                  <c:v>1.75</c:v>
                </c:pt>
                <c:pt idx="10">
                  <c:v>6.25</c:v>
                </c:pt>
                <c:pt idx="11">
                  <c:v>0</c:v>
                </c:pt>
                <c:pt idx="12">
                  <c:v>0</c:v>
                </c:pt>
                <c:pt idx="13">
                  <c:v>6.9249999999999998</c:v>
                </c:pt>
                <c:pt idx="14">
                  <c:v>0</c:v>
                </c:pt>
                <c:pt idx="15">
                  <c:v>0</c:v>
                </c:pt>
                <c:pt idx="16">
                  <c:v>8.1</c:v>
                </c:pt>
                <c:pt idx="17">
                  <c:v>4.5999999999999996</c:v>
                </c:pt>
                <c:pt idx="18">
                  <c:v>0</c:v>
                </c:pt>
                <c:pt idx="19">
                  <c:v>5.25</c:v>
                </c:pt>
                <c:pt idx="20">
                  <c:v>3.3333333333333335</c:v>
                </c:pt>
                <c:pt idx="21">
                  <c:v>8.25</c:v>
                </c:pt>
                <c:pt idx="22">
                  <c:v>0</c:v>
                </c:pt>
                <c:pt idx="23">
                  <c:v>0</c:v>
                </c:pt>
                <c:pt idx="24">
                  <c:v>6.3125</c:v>
                </c:pt>
                <c:pt idx="25">
                  <c:v>0</c:v>
                </c:pt>
                <c:pt idx="26">
                  <c:v>0</c:v>
                </c:pt>
                <c:pt idx="27">
                  <c:v>0</c:v>
                </c:pt>
                <c:pt idx="28">
                  <c:v>5.85</c:v>
                </c:pt>
                <c:pt idx="29">
                  <c:v>5.9219999999999997</c:v>
                </c:pt>
                <c:pt idx="30">
                  <c:v>0</c:v>
                </c:pt>
                <c:pt idx="31">
                  <c:v>0</c:v>
                </c:pt>
                <c:pt idx="32">
                  <c:v>7.5</c:v>
                </c:pt>
              </c:numCache>
            </c:numRef>
          </c:val>
          <c:extLst>
            <c:ext xmlns:c16="http://schemas.microsoft.com/office/drawing/2014/chart" uri="{C3380CC4-5D6E-409C-BE32-E72D297353CC}">
              <c16:uniqueId val="{00000042-060A-450D-BD4E-46B931F7AC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1484415</xdr:colOff>
      <xdr:row>23</xdr:row>
      <xdr:rowOff>100543</xdr:rowOff>
    </xdr:from>
    <xdr:to>
      <xdr:col>8</xdr:col>
      <xdr:colOff>482039</xdr:colOff>
      <xdr:row>36</xdr:row>
      <xdr:rowOff>77684</xdr:rowOff>
    </xdr:to>
    <xdr:graphicFrame macro="">
      <xdr:nvGraphicFramePr>
        <xdr:cNvPr id="2" name="Chart 1">
          <a:extLst>
            <a:ext uri="{FF2B5EF4-FFF2-40B4-BE49-F238E27FC236}">
              <a16:creationId xmlns:a16="http://schemas.microsoft.com/office/drawing/2014/main" id="{9A72EAEB-1E7C-8317-6198-C584DC9EC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455221</xdr:colOff>
      <xdr:row>23</xdr:row>
      <xdr:rowOff>57893</xdr:rowOff>
    </xdr:from>
    <xdr:to>
      <xdr:col>19</xdr:col>
      <xdr:colOff>564078</xdr:colOff>
      <xdr:row>41</xdr:row>
      <xdr:rowOff>9897</xdr:rowOff>
    </xdr:to>
    <xdr:graphicFrame macro="">
      <xdr:nvGraphicFramePr>
        <xdr:cNvPr id="3" name="Chart 2">
          <a:extLst>
            <a:ext uri="{FF2B5EF4-FFF2-40B4-BE49-F238E27FC236}">
              <a16:creationId xmlns:a16="http://schemas.microsoft.com/office/drawing/2014/main" id="{5290510B-82AC-3D7C-CA77-9F4D81A07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227610</xdr:colOff>
      <xdr:row>6</xdr:row>
      <xdr:rowOff>132608</xdr:rowOff>
    </xdr:from>
    <xdr:to>
      <xdr:col>16</xdr:col>
      <xdr:colOff>148442</xdr:colOff>
      <xdr:row>22</xdr:row>
      <xdr:rowOff>25730</xdr:rowOff>
    </xdr:to>
    <xdr:graphicFrame macro="">
      <xdr:nvGraphicFramePr>
        <xdr:cNvPr id="4" name="Chart 3">
          <a:extLst>
            <a:ext uri="{FF2B5EF4-FFF2-40B4-BE49-F238E27FC236}">
              <a16:creationId xmlns:a16="http://schemas.microsoft.com/office/drawing/2014/main" id="{62B9192E-00C4-ED88-C885-B3DAC6BFE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1194660</xdr:colOff>
      <xdr:row>38</xdr:row>
      <xdr:rowOff>81367</xdr:rowOff>
    </xdr:from>
    <xdr:to>
      <xdr:col>8</xdr:col>
      <xdr:colOff>297050</xdr:colOff>
      <xdr:row>53</xdr:row>
      <xdr:rowOff>112363</xdr:rowOff>
    </xdr:to>
    <xdr:graphicFrame macro="">
      <xdr:nvGraphicFramePr>
        <xdr:cNvPr id="5" name="Chart 4">
          <a:extLst>
            <a:ext uri="{FF2B5EF4-FFF2-40B4-BE49-F238E27FC236}">
              <a16:creationId xmlns:a16="http://schemas.microsoft.com/office/drawing/2014/main" id="{363FF9C6-7B29-0788-D994-71F264245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502920</xdr:colOff>
      <xdr:row>16</xdr:row>
      <xdr:rowOff>137160</xdr:rowOff>
    </xdr:from>
    <xdr:to>
      <xdr:col>27</xdr:col>
      <xdr:colOff>30480</xdr:colOff>
      <xdr:row>38</xdr:row>
      <xdr:rowOff>30480</xdr:rowOff>
    </xdr:to>
    <xdr:graphicFrame macro="">
      <xdr:nvGraphicFramePr>
        <xdr:cNvPr id="2" name="Chart 1">
          <a:extLst>
            <a:ext uri="{FF2B5EF4-FFF2-40B4-BE49-F238E27FC236}">
              <a16:creationId xmlns:a16="http://schemas.microsoft.com/office/drawing/2014/main" id="{68346BC0-8C0C-2F81-9369-C08C0EEA3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496556</xdr:colOff>
      <xdr:row>38</xdr:row>
      <xdr:rowOff>182712</xdr:rowOff>
    </xdr:from>
    <xdr:to>
      <xdr:col>27</xdr:col>
      <xdr:colOff>125605</xdr:colOff>
      <xdr:row>62</xdr:row>
      <xdr:rowOff>16748</xdr:rowOff>
    </xdr:to>
    <xdr:graphicFrame macro="">
      <xdr:nvGraphicFramePr>
        <xdr:cNvPr id="3" name="Chart 2">
          <a:extLst>
            <a:ext uri="{FF2B5EF4-FFF2-40B4-BE49-F238E27FC236}">
              <a16:creationId xmlns:a16="http://schemas.microsoft.com/office/drawing/2014/main" id="{307E3A9F-9D71-6522-0B6E-22460F736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549087</xdr:colOff>
      <xdr:row>62</xdr:row>
      <xdr:rowOff>107576</xdr:rowOff>
    </xdr:from>
    <xdr:to>
      <xdr:col>27</xdr:col>
      <xdr:colOff>100853</xdr:colOff>
      <xdr:row>87</xdr:row>
      <xdr:rowOff>134470</xdr:rowOff>
    </xdr:to>
    <xdr:graphicFrame macro="">
      <xdr:nvGraphicFramePr>
        <xdr:cNvPr id="4" name="Chart 3">
          <a:extLst>
            <a:ext uri="{FF2B5EF4-FFF2-40B4-BE49-F238E27FC236}">
              <a16:creationId xmlns:a16="http://schemas.microsoft.com/office/drawing/2014/main" id="{B0C82228-8F4E-3DED-6258-69BDBFD64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499650</xdr:colOff>
      <xdr:row>88</xdr:row>
      <xdr:rowOff>122298</xdr:rowOff>
    </xdr:from>
    <xdr:to>
      <xdr:col>27</xdr:col>
      <xdr:colOff>123265</xdr:colOff>
      <xdr:row>112</xdr:row>
      <xdr:rowOff>62650</xdr:rowOff>
    </xdr:to>
    <xdr:graphicFrame macro="">
      <xdr:nvGraphicFramePr>
        <xdr:cNvPr id="5" name="Chart 4">
          <a:extLst>
            <a:ext uri="{FF2B5EF4-FFF2-40B4-BE49-F238E27FC236}">
              <a16:creationId xmlns:a16="http://schemas.microsoft.com/office/drawing/2014/main" id="{86E9016E-8843-2371-5FF8-5235E12FB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443936</xdr:colOff>
      <xdr:row>35</xdr:row>
      <xdr:rowOff>141111</xdr:rowOff>
    </xdr:from>
    <xdr:to>
      <xdr:col>36</xdr:col>
      <xdr:colOff>479778</xdr:colOff>
      <xdr:row>64</xdr:row>
      <xdr:rowOff>64982</xdr:rowOff>
    </xdr:to>
    <mc:AlternateContent xmlns:mc="http://schemas.openxmlformats.org/markup-compatibility/2006" xmlns:a14="http://schemas.microsoft.com/office/drawing/2010/main">
      <mc:Choice Requires="a14">
        <xdr:graphicFrame macro="">
          <xdr:nvGraphicFramePr>
            <xdr:cNvPr id="6" name="Venue_Name 1">
              <a:extLst>
                <a:ext uri="{FF2B5EF4-FFF2-40B4-BE49-F238E27FC236}">
                  <a16:creationId xmlns:a16="http://schemas.microsoft.com/office/drawing/2014/main" id="{E1165181-C878-8DA3-3C08-2D247843BD15}"/>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25517365" y="6491111"/>
              <a:ext cx="5478699" cy="518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551053</xdr:colOff>
      <xdr:row>13</xdr:row>
      <xdr:rowOff>78737</xdr:rowOff>
    </xdr:from>
    <xdr:to>
      <xdr:col>8</xdr:col>
      <xdr:colOff>387926</xdr:colOff>
      <xdr:row>32</xdr:row>
      <xdr:rowOff>27710</xdr:rowOff>
    </xdr:to>
    <xdr:graphicFrame macro="">
      <xdr:nvGraphicFramePr>
        <xdr:cNvPr id="2" name="Chart 1">
          <a:extLst>
            <a:ext uri="{FF2B5EF4-FFF2-40B4-BE49-F238E27FC236}">
              <a16:creationId xmlns:a16="http://schemas.microsoft.com/office/drawing/2014/main" id="{612A7511-9B10-42CE-897C-B1D04EF31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5148</xdr:colOff>
      <xdr:row>13</xdr:row>
      <xdr:rowOff>48562</xdr:rowOff>
    </xdr:from>
    <xdr:to>
      <xdr:col>22</xdr:col>
      <xdr:colOff>119448</xdr:colOff>
      <xdr:row>32</xdr:row>
      <xdr:rowOff>6691</xdr:rowOff>
    </xdr:to>
    <xdr:graphicFrame macro="">
      <xdr:nvGraphicFramePr>
        <xdr:cNvPr id="3" name="Chart 2">
          <a:extLst>
            <a:ext uri="{FF2B5EF4-FFF2-40B4-BE49-F238E27FC236}">
              <a16:creationId xmlns:a16="http://schemas.microsoft.com/office/drawing/2014/main" id="{2CA2036D-BC13-4638-9938-FA8E6ECAA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550719</xdr:colOff>
      <xdr:row>33</xdr:row>
      <xdr:rowOff>13855</xdr:rowOff>
    </xdr:from>
    <xdr:to>
      <xdr:col>8</xdr:col>
      <xdr:colOff>387927</xdr:colOff>
      <xdr:row>52</xdr:row>
      <xdr:rowOff>21475</xdr:rowOff>
    </xdr:to>
    <xdr:graphicFrame macro="">
      <xdr:nvGraphicFramePr>
        <xdr:cNvPr id="5" name="Chart 4">
          <a:extLst>
            <a:ext uri="{FF2B5EF4-FFF2-40B4-BE49-F238E27FC236}">
              <a16:creationId xmlns:a16="http://schemas.microsoft.com/office/drawing/2014/main" id="{45E6BD8B-527E-4312-9D74-A0A048E89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16625</xdr:colOff>
      <xdr:row>33</xdr:row>
      <xdr:rowOff>20091</xdr:rowOff>
    </xdr:from>
    <xdr:to>
      <xdr:col>22</xdr:col>
      <xdr:colOff>166255</xdr:colOff>
      <xdr:row>52</xdr:row>
      <xdr:rowOff>27710</xdr:rowOff>
    </xdr:to>
    <xdr:graphicFrame macro="">
      <xdr:nvGraphicFramePr>
        <xdr:cNvPr id="6" name="Chart 5">
          <a:extLst>
            <a:ext uri="{FF2B5EF4-FFF2-40B4-BE49-F238E27FC236}">
              <a16:creationId xmlns:a16="http://schemas.microsoft.com/office/drawing/2014/main" id="{F2CE47BB-0B32-4936-9DF4-491FE6B80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138876</xdr:colOff>
      <xdr:row>1</xdr:row>
      <xdr:rowOff>11722</xdr:rowOff>
    </xdr:from>
    <xdr:to>
      <xdr:col>27</xdr:col>
      <xdr:colOff>580825</xdr:colOff>
      <xdr:row>14</xdr:row>
      <xdr:rowOff>58615</xdr:rowOff>
    </xdr:to>
    <mc:AlternateContent xmlns:mc="http://schemas.openxmlformats.org/markup-compatibility/2006" xmlns:a14="http://schemas.microsoft.com/office/drawing/2010/main">
      <mc:Choice Requires="a14">
        <xdr:graphicFrame macro="">
          <xdr:nvGraphicFramePr>
            <xdr:cNvPr id="8" name="Team_Name">
              <a:extLst>
                <a:ext uri="{FF2B5EF4-FFF2-40B4-BE49-F238E27FC236}">
                  <a16:creationId xmlns:a16="http://schemas.microsoft.com/office/drawing/2014/main" id="{B1FC8A93-0638-C58A-2850-F154A44A42D1}"/>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4212785" y="196449"/>
              <a:ext cx="2889585" cy="2448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591833</xdr:colOff>
      <xdr:row>1</xdr:row>
      <xdr:rowOff>15900</xdr:rowOff>
    </xdr:from>
    <xdr:to>
      <xdr:col>35</xdr:col>
      <xdr:colOff>121494</xdr:colOff>
      <xdr:row>14</xdr:row>
      <xdr:rowOff>82062</xdr:rowOff>
    </xdr:to>
    <mc:AlternateContent xmlns:mc="http://schemas.openxmlformats.org/markup-compatibility/2006" xmlns:a14="http://schemas.microsoft.com/office/drawing/2010/main">
      <mc:Choice Requires="a14">
        <xdr:graphicFrame macro="">
          <xdr:nvGraphicFramePr>
            <xdr:cNvPr id="9" name="Venue_Name">
              <a:extLst>
                <a:ext uri="{FF2B5EF4-FFF2-40B4-BE49-F238E27FC236}">
                  <a16:creationId xmlns:a16="http://schemas.microsoft.com/office/drawing/2014/main" id="{B08CBD0A-0A20-C684-9B47-E90119479911}"/>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7725288" y="200627"/>
              <a:ext cx="3813024" cy="2467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479196</xdr:colOff>
      <xdr:row>1</xdr:row>
      <xdr:rowOff>0</xdr:rowOff>
    </xdr:from>
    <xdr:to>
      <xdr:col>5</xdr:col>
      <xdr:colOff>164969</xdr:colOff>
      <xdr:row>13</xdr:row>
      <xdr:rowOff>117835</xdr:rowOff>
    </xdr:to>
    <xdr:pic>
      <xdr:nvPicPr>
        <xdr:cNvPr id="11" name="Picture 10">
          <a:extLst>
            <a:ext uri="{FF2B5EF4-FFF2-40B4-BE49-F238E27FC236}">
              <a16:creationId xmlns:a16="http://schemas.microsoft.com/office/drawing/2014/main" id="{86C8F2AF-8703-6044-24C7-F155AA3E2A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196" y="180680"/>
          <a:ext cx="2749484" cy="2286000"/>
        </a:xfrm>
        <a:prstGeom prst="rect">
          <a:avLst/>
        </a:prstGeom>
      </xdr:spPr>
    </xdr:pic>
    <xdr:clientData/>
  </xdr:twoCellAnchor>
  <xdr:twoCellAnchor>
    <xdr:from>
      <xdr:col>6</xdr:col>
      <xdr:colOff>7854</xdr:colOff>
      <xdr:row>1</xdr:row>
      <xdr:rowOff>178794</xdr:rowOff>
    </xdr:from>
    <xdr:to>
      <xdr:col>8</xdr:col>
      <xdr:colOff>608748</xdr:colOff>
      <xdr:row>6</xdr:row>
      <xdr:rowOff>4257</xdr:rowOff>
    </xdr:to>
    <xdr:sp macro="" textlink="">
      <xdr:nvSpPr>
        <xdr:cNvPr id="12" name="Rectangle 11">
          <a:extLst>
            <a:ext uri="{FF2B5EF4-FFF2-40B4-BE49-F238E27FC236}">
              <a16:creationId xmlns:a16="http://schemas.microsoft.com/office/drawing/2014/main" id="{1C21AB7F-0C8D-B7F1-4C76-D5D8A0F4E150}"/>
            </a:ext>
          </a:extLst>
        </xdr:cNvPr>
        <xdr:cNvSpPr/>
      </xdr:nvSpPr>
      <xdr:spPr>
        <a:xfrm>
          <a:off x="3660346" y="361844"/>
          <a:ext cx="1818391" cy="74071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5906</xdr:colOff>
      <xdr:row>1</xdr:row>
      <xdr:rowOff>177211</xdr:rowOff>
    </xdr:from>
    <xdr:to>
      <xdr:col>13</xdr:col>
      <xdr:colOff>608417</xdr:colOff>
      <xdr:row>5</xdr:row>
      <xdr:rowOff>177210</xdr:rowOff>
    </xdr:to>
    <xdr:sp macro="" textlink="">
      <xdr:nvSpPr>
        <xdr:cNvPr id="14" name="Rectangle 13">
          <a:extLst>
            <a:ext uri="{FF2B5EF4-FFF2-40B4-BE49-F238E27FC236}">
              <a16:creationId xmlns:a16="http://schemas.microsoft.com/office/drawing/2014/main" id="{AD39E47A-33C9-91B8-C7BD-32987C049D4B}"/>
            </a:ext>
          </a:extLst>
        </xdr:cNvPr>
        <xdr:cNvSpPr/>
      </xdr:nvSpPr>
      <xdr:spPr>
        <a:xfrm>
          <a:off x="8523766" y="360327"/>
          <a:ext cx="1819349" cy="73246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78556</xdr:colOff>
      <xdr:row>1</xdr:row>
      <xdr:rowOff>147675</xdr:rowOff>
    </xdr:from>
    <xdr:to>
      <xdr:col>9</xdr:col>
      <xdr:colOff>70701</xdr:colOff>
      <xdr:row>4</xdr:row>
      <xdr:rowOff>0</xdr:rowOff>
    </xdr:to>
    <xdr:sp macro="" textlink="">
      <xdr:nvSpPr>
        <xdr:cNvPr id="17" name="TextBox 16">
          <a:extLst>
            <a:ext uri="{FF2B5EF4-FFF2-40B4-BE49-F238E27FC236}">
              <a16:creationId xmlns:a16="http://schemas.microsoft.com/office/drawing/2014/main" id="{3CEC537C-DE6D-2FF8-A872-6D693F91DBEF}"/>
            </a:ext>
          </a:extLst>
        </xdr:cNvPr>
        <xdr:cNvSpPr txBox="1"/>
      </xdr:nvSpPr>
      <xdr:spPr>
        <a:xfrm>
          <a:off x="3729068" y="330791"/>
          <a:ext cx="1817400" cy="40167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a:t>  Total Matches</a:t>
          </a:r>
        </a:p>
        <a:p>
          <a:endParaRPr lang="en-IN" sz="1700">
            <a:solidFill>
              <a:schemeClr val="dk1"/>
            </a:solidFill>
          </a:endParaRPr>
        </a:p>
      </xdr:txBody>
    </xdr:sp>
    <xdr:clientData/>
  </xdr:twoCellAnchor>
  <xdr:twoCellAnchor>
    <xdr:from>
      <xdr:col>11</xdr:col>
      <xdr:colOff>360325</xdr:colOff>
      <xdr:row>1</xdr:row>
      <xdr:rowOff>147676</xdr:rowOff>
    </xdr:from>
    <xdr:to>
      <xdr:col>13</xdr:col>
      <xdr:colOff>342604</xdr:colOff>
      <xdr:row>3</xdr:row>
      <xdr:rowOff>159489</xdr:rowOff>
    </xdr:to>
    <xdr:sp macro="" textlink="">
      <xdr:nvSpPr>
        <xdr:cNvPr id="23" name="TextBox 22">
          <a:extLst>
            <a:ext uri="{FF2B5EF4-FFF2-40B4-BE49-F238E27FC236}">
              <a16:creationId xmlns:a16="http://schemas.microsoft.com/office/drawing/2014/main" id="{752C73D0-6472-E89F-38E8-DE29705FA2FE}"/>
            </a:ext>
          </a:extLst>
        </xdr:cNvPr>
        <xdr:cNvSpPr txBox="1"/>
      </xdr:nvSpPr>
      <xdr:spPr>
        <a:xfrm>
          <a:off x="8878185" y="330792"/>
          <a:ext cx="1199117" cy="378046"/>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Runs</a:t>
          </a:r>
        </a:p>
      </xdr:txBody>
    </xdr:sp>
    <xdr:clientData/>
  </xdr:twoCellAnchor>
  <xdr:twoCellAnchor>
    <xdr:from>
      <xdr:col>15</xdr:col>
      <xdr:colOff>5907</xdr:colOff>
      <xdr:row>2</xdr:row>
      <xdr:rowOff>5907</xdr:rowOff>
    </xdr:from>
    <xdr:to>
      <xdr:col>17</xdr:col>
      <xdr:colOff>602512</xdr:colOff>
      <xdr:row>5</xdr:row>
      <xdr:rowOff>177210</xdr:rowOff>
    </xdr:to>
    <xdr:sp macro="" textlink="">
      <xdr:nvSpPr>
        <xdr:cNvPr id="24" name="Rectangle 23">
          <a:extLst>
            <a:ext uri="{FF2B5EF4-FFF2-40B4-BE49-F238E27FC236}">
              <a16:creationId xmlns:a16="http://schemas.microsoft.com/office/drawing/2014/main" id="{E8817197-56D5-5B61-AF87-DDC7077F787B}"/>
            </a:ext>
          </a:extLst>
        </xdr:cNvPr>
        <xdr:cNvSpPr/>
      </xdr:nvSpPr>
      <xdr:spPr>
        <a:xfrm>
          <a:off x="10957442" y="372140"/>
          <a:ext cx="1813442" cy="7206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230372</xdr:colOff>
      <xdr:row>1</xdr:row>
      <xdr:rowOff>141768</xdr:rowOff>
    </xdr:from>
    <xdr:to>
      <xdr:col>17</xdr:col>
      <xdr:colOff>484372</xdr:colOff>
      <xdr:row>3</xdr:row>
      <xdr:rowOff>129954</xdr:rowOff>
    </xdr:to>
    <xdr:sp macro="" textlink="">
      <xdr:nvSpPr>
        <xdr:cNvPr id="25" name="TextBox 24">
          <a:extLst>
            <a:ext uri="{FF2B5EF4-FFF2-40B4-BE49-F238E27FC236}">
              <a16:creationId xmlns:a16="http://schemas.microsoft.com/office/drawing/2014/main" id="{D7686F7D-DC5B-3913-9A8A-58393414C328}"/>
            </a:ext>
          </a:extLst>
        </xdr:cNvPr>
        <xdr:cNvSpPr txBox="1"/>
      </xdr:nvSpPr>
      <xdr:spPr>
        <a:xfrm>
          <a:off x="11181907" y="324884"/>
          <a:ext cx="1470837" cy="354419"/>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Wickets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261257</xdr:colOff>
      <xdr:row>19</xdr:row>
      <xdr:rowOff>7328</xdr:rowOff>
    </xdr:from>
    <xdr:to>
      <xdr:col>20</xdr:col>
      <xdr:colOff>193296</xdr:colOff>
      <xdr:row>40</xdr:row>
      <xdr:rowOff>134471</xdr:rowOff>
    </xdr:to>
    <xdr:graphicFrame macro="">
      <xdr:nvGraphicFramePr>
        <xdr:cNvPr id="3" name="Chart 2">
          <a:extLst>
            <a:ext uri="{FF2B5EF4-FFF2-40B4-BE49-F238E27FC236}">
              <a16:creationId xmlns:a16="http://schemas.microsoft.com/office/drawing/2014/main" id="{50CA1AE9-077C-4290-AE90-5542DCB35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419100</xdr:colOff>
      <xdr:row>19</xdr:row>
      <xdr:rowOff>7327</xdr:rowOff>
    </xdr:from>
    <xdr:to>
      <xdr:col>39</xdr:col>
      <xdr:colOff>590514</xdr:colOff>
      <xdr:row>40</xdr:row>
      <xdr:rowOff>155644</xdr:rowOff>
    </xdr:to>
    <xdr:graphicFrame macro="">
      <xdr:nvGraphicFramePr>
        <xdr:cNvPr id="4" name="Chart 3">
          <a:extLst>
            <a:ext uri="{FF2B5EF4-FFF2-40B4-BE49-F238E27FC236}">
              <a16:creationId xmlns:a16="http://schemas.microsoft.com/office/drawing/2014/main" id="{85A9293B-A39A-4C2D-80DD-213E7410D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239486</xdr:colOff>
      <xdr:row>42</xdr:row>
      <xdr:rowOff>2908</xdr:rowOff>
    </xdr:from>
    <xdr:to>
      <xdr:col>20</xdr:col>
      <xdr:colOff>194930</xdr:colOff>
      <xdr:row>67</xdr:row>
      <xdr:rowOff>2909</xdr:rowOff>
    </xdr:to>
    <xdr:graphicFrame macro="">
      <xdr:nvGraphicFramePr>
        <xdr:cNvPr id="6" name="Chart 5">
          <a:extLst>
            <a:ext uri="{FF2B5EF4-FFF2-40B4-BE49-F238E27FC236}">
              <a16:creationId xmlns:a16="http://schemas.microsoft.com/office/drawing/2014/main" id="{86603D9B-8730-4616-B33B-513EB8F73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443023</xdr:colOff>
      <xdr:row>42</xdr:row>
      <xdr:rowOff>10886</xdr:rowOff>
    </xdr:from>
    <xdr:to>
      <xdr:col>40</xdr:col>
      <xdr:colOff>21771</xdr:colOff>
      <xdr:row>66</xdr:row>
      <xdr:rowOff>176695</xdr:rowOff>
    </xdr:to>
    <xdr:graphicFrame macro="">
      <xdr:nvGraphicFramePr>
        <xdr:cNvPr id="7" name="Chart 6">
          <a:extLst>
            <a:ext uri="{FF2B5EF4-FFF2-40B4-BE49-F238E27FC236}">
              <a16:creationId xmlns:a16="http://schemas.microsoft.com/office/drawing/2014/main" id="{752355D1-8354-4378-8BD9-A196CF0EF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372894</xdr:colOff>
      <xdr:row>0</xdr:row>
      <xdr:rowOff>0</xdr:rowOff>
    </xdr:from>
    <xdr:to>
      <xdr:col>8</xdr:col>
      <xdr:colOff>551234</xdr:colOff>
      <xdr:row>19</xdr:row>
      <xdr:rowOff>133047</xdr:rowOff>
    </xdr:to>
    <xdr:pic>
      <xdr:nvPicPr>
        <xdr:cNvPr id="9" name="Picture 8">
          <a:extLst>
            <a:ext uri="{FF2B5EF4-FFF2-40B4-BE49-F238E27FC236}">
              <a16:creationId xmlns:a16="http://schemas.microsoft.com/office/drawing/2014/main" id="{1D92599C-6BF2-037A-98CD-BB0C0023E2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8979" y="0"/>
          <a:ext cx="4490936" cy="3521515"/>
        </a:xfrm>
        <a:prstGeom prst="rect">
          <a:avLst/>
        </a:prstGeom>
      </xdr:spPr>
    </xdr:pic>
    <xdr:clientData/>
  </xdr:twoCellAnchor>
  <xdr:twoCellAnchor>
    <xdr:from>
      <xdr:col>11</xdr:col>
      <xdr:colOff>9072</xdr:colOff>
      <xdr:row>5</xdr:row>
      <xdr:rowOff>8106</xdr:rowOff>
    </xdr:from>
    <xdr:to>
      <xdr:col>16</xdr:col>
      <xdr:colOff>9072</xdr:colOff>
      <xdr:row>12</xdr:row>
      <xdr:rowOff>0</xdr:rowOff>
    </xdr:to>
    <xdr:sp macro="" textlink="">
      <xdr:nvSpPr>
        <xdr:cNvPr id="10" name="Rectangle 9">
          <a:extLst>
            <a:ext uri="{FF2B5EF4-FFF2-40B4-BE49-F238E27FC236}">
              <a16:creationId xmlns:a16="http://schemas.microsoft.com/office/drawing/2014/main" id="{D4D9F138-C4EB-2A99-E2B5-8FD72218067B}"/>
            </a:ext>
          </a:extLst>
        </xdr:cNvPr>
        <xdr:cNvSpPr/>
      </xdr:nvSpPr>
      <xdr:spPr>
        <a:xfrm>
          <a:off x="6696838" y="940340"/>
          <a:ext cx="3039894" cy="129702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37271</xdr:colOff>
      <xdr:row>5</xdr:row>
      <xdr:rowOff>110837</xdr:rowOff>
    </xdr:from>
    <xdr:to>
      <xdr:col>16</xdr:col>
      <xdr:colOff>140803</xdr:colOff>
      <xdr:row>7</xdr:row>
      <xdr:rowOff>128380</xdr:rowOff>
    </xdr:to>
    <xdr:sp macro="" textlink="">
      <xdr:nvSpPr>
        <xdr:cNvPr id="2" name="TextBox 1">
          <a:extLst>
            <a:ext uri="{FF2B5EF4-FFF2-40B4-BE49-F238E27FC236}">
              <a16:creationId xmlns:a16="http://schemas.microsoft.com/office/drawing/2014/main" id="{FE5C3B52-B61A-CDF1-9325-01EEB9192E05}"/>
            </a:ext>
          </a:extLst>
        </xdr:cNvPr>
        <xdr:cNvSpPr txBox="1"/>
      </xdr:nvSpPr>
      <xdr:spPr>
        <a:xfrm>
          <a:off x="6742871" y="1011382"/>
          <a:ext cx="3151532" cy="377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100"/>
            <a:t>Average</a:t>
          </a:r>
          <a:r>
            <a:rPr lang="en-IN" sz="2100" baseline="0"/>
            <a:t> Strike Rate Overall</a:t>
          </a:r>
          <a:endParaRPr lang="en-IN" sz="2100"/>
        </a:p>
      </xdr:txBody>
    </xdr:sp>
    <xdr:clientData/>
  </xdr:twoCellAnchor>
  <xdr:twoCellAnchor>
    <xdr:from>
      <xdr:col>17</xdr:col>
      <xdr:colOff>6927</xdr:colOff>
      <xdr:row>4</xdr:row>
      <xdr:rowOff>183265</xdr:rowOff>
    </xdr:from>
    <xdr:to>
      <xdr:col>21</xdr:col>
      <xdr:colOff>602673</xdr:colOff>
      <xdr:row>11</xdr:row>
      <xdr:rowOff>183265</xdr:rowOff>
    </xdr:to>
    <xdr:sp macro="" textlink="">
      <xdr:nvSpPr>
        <xdr:cNvPr id="5" name="Rectangle 4">
          <a:extLst>
            <a:ext uri="{FF2B5EF4-FFF2-40B4-BE49-F238E27FC236}">
              <a16:creationId xmlns:a16="http://schemas.microsoft.com/office/drawing/2014/main" id="{DAC92166-6CDC-651C-FED4-B8883174845A}"/>
            </a:ext>
          </a:extLst>
        </xdr:cNvPr>
        <xdr:cNvSpPr/>
      </xdr:nvSpPr>
      <xdr:spPr>
        <a:xfrm>
          <a:off x="10337332" y="916328"/>
          <a:ext cx="3026430" cy="128286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163286</xdr:colOff>
      <xdr:row>2</xdr:row>
      <xdr:rowOff>127001</xdr:rowOff>
    </xdr:from>
    <xdr:to>
      <xdr:col>29</xdr:col>
      <xdr:colOff>344714</xdr:colOff>
      <xdr:row>17</xdr:row>
      <xdr:rowOff>36286</xdr:rowOff>
    </xdr:to>
    <mc:AlternateContent xmlns:mc="http://schemas.openxmlformats.org/markup-compatibility/2006" xmlns:a14="http://schemas.microsoft.com/office/drawing/2010/main">
      <mc:Choice Requires="a14">
        <xdr:graphicFrame macro="">
          <xdr:nvGraphicFramePr>
            <xdr:cNvPr id="8" name="Venue_Name 2">
              <a:extLst>
                <a:ext uri="{FF2B5EF4-FFF2-40B4-BE49-F238E27FC236}">
                  <a16:creationId xmlns:a16="http://schemas.microsoft.com/office/drawing/2014/main" id="{2826F779-6FDC-8167-1597-AEFA1FA37C9E}"/>
                </a:ext>
              </a:extLst>
            </xdr:cNvPr>
            <xdr:cNvGraphicFramePr/>
          </xdr:nvGraphicFramePr>
          <xdr:xfrm>
            <a:off x="0" y="0"/>
            <a:ext cx="0" cy="0"/>
          </xdr:xfrm>
          <a:graphic>
            <a:graphicData uri="http://schemas.microsoft.com/office/drawing/2010/slicer">
              <sle:slicer xmlns:sle="http://schemas.microsoft.com/office/drawing/2010/slicer" name="Venue_Name 2"/>
            </a:graphicData>
          </a:graphic>
        </xdr:graphicFrame>
      </mc:Choice>
      <mc:Fallback xmlns="">
        <xdr:sp macro="" textlink="">
          <xdr:nvSpPr>
            <xdr:cNvPr id="0" name=""/>
            <xdr:cNvSpPr>
              <a:spLocks noTextEdit="1"/>
            </xdr:cNvSpPr>
          </xdr:nvSpPr>
          <xdr:spPr>
            <a:xfrm>
              <a:off x="14281453" y="486834"/>
              <a:ext cx="3864428" cy="2608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80211</xdr:colOff>
      <xdr:row>5</xdr:row>
      <xdr:rowOff>120316</xdr:rowOff>
    </xdr:from>
    <xdr:to>
      <xdr:col>22</xdr:col>
      <xdr:colOff>160421</xdr:colOff>
      <xdr:row>8</xdr:row>
      <xdr:rowOff>13369</xdr:rowOff>
    </xdr:to>
    <xdr:sp macro="" textlink="">
      <xdr:nvSpPr>
        <xdr:cNvPr id="11" name="TextBox 10">
          <a:extLst>
            <a:ext uri="{FF2B5EF4-FFF2-40B4-BE49-F238E27FC236}">
              <a16:creationId xmlns:a16="http://schemas.microsoft.com/office/drawing/2014/main" id="{D9A3B702-BAD5-B3B4-EACC-516B0D3238DD}"/>
            </a:ext>
          </a:extLst>
        </xdr:cNvPr>
        <xdr:cNvSpPr txBox="1"/>
      </xdr:nvSpPr>
      <xdr:spPr>
        <a:xfrm>
          <a:off x="10534316" y="1056105"/>
          <a:ext cx="3154947" cy="454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100"/>
            <a:t>Average Economy Overall</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3124998" backgroundQuery="1" createdVersion="8" refreshedVersion="8" minRefreshableVersion="3" recordCount="0" supportSubquery="1" supportAdvancedDrill="1" xr:uid="{47FA1129-A401-49D2-8894-C85DC869CC24}">
  <cacheSource type="external" connectionId="6"/>
  <cacheFields count="2">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8" level="32767"/>
  </cacheFields>
  <cacheHierarchies count="76">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13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13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Winning_Team]" caption="Winning_Team" attribute="1" defaultMemberUniqueName="[fact_match].[Winning_Team].[All]" allUniqueName="[fact_match].[Winning_Team].[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2" memberValueDatatype="130" unbalanced="0"/>
    <cacheHierarchy uniqueName="[fact_match].[Is_Home_Team]" caption="Is_Home_Team" attribute="1" defaultMemberUniqueName="[fact_match].[Is_Home_Team].[All]" allUniqueName="[fact_match].[Is_Home_Team].[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oneField="1">
      <fieldsUsage count="1">
        <fieldUsage x="1"/>
      </fieldsUsage>
    </cacheHierarchy>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4050929" backgroundQuery="1" createdVersion="8" refreshedVersion="8" minRefreshableVersion="3" recordCount="0" supportSubquery="1" supportAdvancedDrill="1" xr:uid="{EBB29A7E-4ED6-42DD-A227-C2C2E0D51AA4}">
  <cacheSource type="external" connectionId="6"/>
  <cacheFields count="3">
    <cacheField name="[Measures].[Total Runs]" caption="Total Runs" numFmtId="0" hierarchy="53" level="32767"/>
    <cacheField name="[fact_match].[Win_Type].[Win_Type]" caption="Win_Type" numFmtId="0" hierarchy="35" level="1">
      <sharedItems count="2">
        <s v="Win_by_runs"/>
        <s v="Win_by_wickets"/>
      </sharedItems>
    </cacheField>
    <cacheField name="[dim_team].[Team_Name].[Team_Name]" caption="Team_Name" numFmtId="0" hierarchy="9"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13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13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Winning_Team]" caption="Winning_Team" attribute="1" defaultMemberUniqueName="[fact_match].[Winning_Team].[All]" allUniqueName="[fact_match].[Winning_Team].[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2" memberValueDatatype="130" unbalanced="0"/>
    <cacheHierarchy uniqueName="[fact_match].[Is_Home_Team]" caption="Is_Home_Team" attribute="1" defaultMemberUniqueName="[fact_match].[Is_Home_Team].[All]" allUniqueName="[fact_match].[Is_Home_Team].[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oneField="1">
      <fieldsUsage count="1">
        <fieldUsage x="0"/>
      </fieldsUsage>
    </cacheHierarchy>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4398145" backgroundQuery="1" createdVersion="8" refreshedVersion="8" minRefreshableVersion="3" recordCount="0" supportSubquery="1" supportAdvancedDrill="1" xr:uid="{890D574D-B2A4-4A51-B1C6-8DBE5915F04C}">
  <cacheSource type="external" connectionId="6"/>
  <cacheFields count="5">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otal Runs]" caption="Total Runs" numFmtId="0" hierarchy="53" level="32767"/>
    <cacheField name="[Measures].[Total_Wickets]" caption="Total_Wickets" numFmtId="0" hierarchy="54" level="32767"/>
    <cacheField name="[Measures].[TeamWins]" caption="TeamWins" numFmtId="0" hierarchy="58" level="32767"/>
    <cacheField name="[Measures].[Count of Match_ID]" caption="Count of Match_ID" numFmtId="0" hierarchy="66" level="32767"/>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oneField="1">
      <fieldsUsage count="1">
        <fieldUsage x="1"/>
      </fieldsUsage>
    </cacheHierarchy>
    <cacheHierarchy uniqueName="[Measures].[Total_Wickets]" caption="Total_Wickets" measure="1" displayFolder="" measureGroup="fact_match" count="0" oneField="1">
      <fieldsUsage count="1">
        <fieldUsage x="2"/>
      </fieldsUsage>
    </cacheHierarchy>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oneField="1">
      <fieldsUsage count="1">
        <fieldUsage x="3"/>
      </fieldsUsage>
    </cacheHierarchy>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4745368" backgroundQuery="1" createdVersion="8" refreshedVersion="8" minRefreshableVersion="3" recordCount="0" supportSubquery="1" supportAdvancedDrill="1" xr:uid="{F76E0346-59AE-48C9-9AE6-0C1FBC3611E9}">
  <cacheSource type="external" connectionId="6"/>
  <cacheFields count="3">
    <cacheField name="[fact_match].[Venue_Name].[Venue_Name]" caption="Venue_Name" numFmtId="0" hierarchy="37" level="1">
      <sharedItems count="8">
        <s v="Arun Jaitley Stadium"/>
        <s v="Eden Gardens"/>
        <s v="M. A. Chidambaram Stadium"/>
        <s v="M. Chinnaswamy Stadium"/>
        <s v="Maharaja Yadavindra Singh Int. Cricket Stadium"/>
        <s v="Rajiv Gandhi Int. Stadium"/>
        <s v="Sawai Mansingh Stadium"/>
        <s v="Wankhede Stadium"/>
      </sharedItems>
    </cacheField>
    <cacheField name="[Measures].[Count of Match_ID]" caption="Count of Match_ID" numFmtId="0" hierarchy="66" level="32767"/>
    <cacheField name="[dim_team].[Team_Name].[Team_Name]" caption="Team_Name" numFmtId="0" hierarchy="9"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0"/>
      </fieldsUsage>
    </cacheHierarchy>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5092591" backgroundQuery="1" createdVersion="8" refreshedVersion="8" minRefreshableVersion="3" recordCount="0" supportSubquery="1" supportAdvancedDrill="1" xr:uid="{91BA865B-8FCB-4674-A400-65298B6DA419}">
  <cacheSource type="external" connectionId="6"/>
  <cacheFields count="2">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53" level="32767"/>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oneField="1">
      <fieldsUsage count="1">
        <fieldUsage x="1"/>
      </fieldsUsage>
    </cacheHierarchy>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5555553" backgroundQuery="1" createdVersion="8" refreshedVersion="8" minRefreshableVersion="3" recordCount="0" supportSubquery="1" supportAdvancedDrill="1" xr:uid="{76B4DC0F-3F3A-44D3-9ABF-2AF177A6E8A4}">
  <cacheSource type="external" connectionId="6"/>
  <cacheFields count="3">
    <cacheField name="[Measures].[Sum of Runs]" caption="Sum of Runs" numFmtId="0" hierarchy="68" level="32767"/>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team].[Team_Name].[Team_Name]" caption="Team_Name" numFmtId="0" hierarchy="9"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1"/>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13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13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Winning_Team]" caption="Winning_Team" attribute="1" defaultMemberUniqueName="[fact_match].[Winning_Team].[All]" allUniqueName="[fact_match].[Winning_Team].[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2" memberValueDatatype="130" unbalanced="0"/>
    <cacheHierarchy uniqueName="[fact_match].[Is_Home_Team]" caption="Is_Home_Team" attribute="1" defaultMemberUniqueName="[fact_match].[Is_Home_Team].[All]" allUniqueName="[fact_match].[Is_Home_Team].[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6018515" backgroundQuery="1" createdVersion="8" refreshedVersion="8" minRefreshableVersion="3" recordCount="0" supportSubquery="1" supportAdvancedDrill="1" xr:uid="{D6477F6C-E41A-4598-8BFE-51672372C40C}">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Wickets]" caption="Sum of Wickets" numFmtId="0" hierarchy="70" level="32767"/>
    <cacheField name="[dim_team].[Team_Name].[Team_Name]" caption="Team_Name" numFmtId="0" hierarchy="9"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6712961" backgroundQuery="1" createdVersion="8" refreshedVersion="8" minRefreshableVersion="3" recordCount="0" supportSubquery="1" supportAdvancedDrill="1" xr:uid="{1E90AC45-A856-4AE3-82F2-DECB6F129043}">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Average of Strike_Rate]" caption="Average of Strike_Rate" numFmtId="0" hierarchy="73" level="32767"/>
    <cacheField name="[dim_team].[Team_Name].[Team_Name]" caption="Team_Name" numFmtId="0" hierarchy="9"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11557175923" backgroundQuery="1" createdVersion="8" refreshedVersion="8" minRefreshableVersion="3" recordCount="0" supportSubquery="1" supportAdvancedDrill="1" xr:uid="{451C2008-1967-402F-B7C7-C7170D743935}">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Average of Economy]" caption="Average of Economy" numFmtId="0" hierarchy="75" level="32767"/>
    <cacheField name="[dim_team].[Team_Name].[Team_Name]" caption="Team_Name" numFmtId="0" hierarchy="9"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1.055925347224" backgroundQuery="1" createdVersion="8" refreshedVersion="8" minRefreshableVersion="3" recordCount="0" supportSubquery="1" supportAdvancedDrill="1" xr:uid="{F4CF26CF-75D7-48AC-BD9F-5789F5788E28}">
  <cacheSource type="external" connectionId="6"/>
  <cacheFields count="6">
    <cacheField name="[Measures].[Sum of Runs]" caption="Sum of Runs" numFmtId="0" hierarchy="68" level="32767"/>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Runs_Conceded]" caption="Sum of Runs_Conceded" numFmtId="0" hierarchy="71" level="32767"/>
    <cacheField name="[Measures].[Sum of Wickets]" caption="Sum of Wickets" numFmtId="0" hierarchy="70" level="32767"/>
    <cacheField name="[Measures].[Average of Strike_Rate]" caption="Average of Strike_Rate" numFmtId="0" hierarchy="73" level="32767"/>
    <cacheField name="[Measures].[Average of Economy]" caption="Average of Economy" numFmtId="0" hierarchy="75" level="32767"/>
  </cacheFields>
  <cacheHierarchies count="76">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1"/>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13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13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Winning_Team]" caption="Winning_Team" attribute="1" defaultMemberUniqueName="[fact_match].[Winning_Team].[All]" allUniqueName="[fact_match].[Winning_Team].[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2" memberValueDatatype="130" unbalanced="0"/>
    <cacheHierarchy uniqueName="[fact_match].[Is_Home_Team]" caption="Is_Home_Team" attribute="1" defaultMemberUniqueName="[fact_match].[Is_Home_Team].[All]" allUniqueName="[fact_match].[Is_Home_Team].[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3"/>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oneField="1" hidden="1">
      <fieldsUsage count="1">
        <fieldUsage x="4"/>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oneField="1" hidden="1">
      <fieldsUsage count="1">
        <fieldUsage x="5"/>
      </fieldsUsage>
      <extLst>
        <ext xmlns:x15="http://schemas.microsoft.com/office/spreadsheetml/2010/11/main" uri="{B97F6D7D-B522-45F9-BDA1-12C45D357490}">
          <x15:cacheHierarchy aggregatedColumn="50"/>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bh Anand" refreshedDate="46310.74357233796" backgroundQuery="1" createdVersion="3" refreshedVersion="8" minRefreshableVersion="3" recordCount="0" supportSubquery="1" supportAdvancedDrill="1" xr:uid="{1494C3F1-17E9-4803-83B1-998AFC5F61B9}">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ning_Team]" caption="Winning_Team" attribute="1" defaultMemberUniqueName="[fact_match].[Winning_Team].[All]" allUniqueName="[fact_match].[Winning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Ground]" caption="Home_Ground" attribute="1" defaultMemberUniqueName="[fact_match].[Home_Ground].[All]" allUniqueName="[fact_match].[Home_Ground].[All]" dimensionUniqueName="[fact_match]" displayFolder="" count="0" memberValueDatatype="130" unbalanced="0"/>
    <cacheHierarchy uniqueName="[fact_match].[Is_Home_Team]" caption="Is_Home_Team" attribute="1" defaultMemberUniqueName="[fact_match].[Is_Home_Team].[All]" allUniqueName="[fact_match].[Is_Home_Team].[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Player_Runs]" caption="Player_Runs" measure="1" displayFolder="" measureGroup="fact_player" count="0"/>
    <cacheHierarchy uniqueName="[Measures].[Total_Matches]" caption="Total_Matches" measure="1" displayFolder="" measureGroup="fact_match" count="0"/>
    <cacheHierarchy uniqueName="[Measures].[Total Runs]" caption="Total Runs" measure="1" displayFolder="" measureGroup="fact_match" count="0"/>
    <cacheHierarchy uniqueName="[Measures].[Total_Wickets]" caption="Total_Wickets" measure="1" displayFolder="" measureGroup="fact_match" count="0"/>
    <cacheHierarchy uniqueName="[Measures].[Player Wickets]" caption="Player 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player" count="0"/>
    <cacheHierarchy uniqueName="[Measures].[TeamWins]" caption="TeamWins" measure="1" displayFolder="" measureGroup="fact_player" count="0"/>
    <cacheHierarchy uniqueName="[Measures].[Win%]" caption="Win%" measure="1" displayFolder="" measureGroup="fact_player"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Average of Strike_Rate]" caption="Average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Average of Economy]" caption="Average of Economy" measure="1" displayFolder="" measureGroup="fact_player"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9579284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2F3D2-C1DF-4B88-8F3F-15AA24376430}" name="PivotTable6" cacheId="69" applyNumberFormats="0" applyBorderFormats="0" applyFontFormats="0" applyPatternFormats="0" applyAlignmentFormats="0" applyWidthHeightFormats="1" dataCaption="Values" tag="213908c5-a6bc-4b68-bc74-566f5da2362b" updatedVersion="8" minRefreshableVersion="3" useAutoFormatting="1" subtotalHiddenItems="1" itemPrintTitles="1" createdVersion="8" indent="0" outline="1" outlineData="1" multipleFieldFilters="0" chartFormat="11" rowHeaderCaption="Team Name">
  <location ref="A15:B25"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tches_Play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90864-A5DB-49F6-820C-F7AFB24AB98E}" name="PivotTable2" cacheId="71" applyNumberFormats="0" applyBorderFormats="0" applyFontFormats="0" applyPatternFormats="0" applyAlignmentFormats="0" applyWidthHeightFormats="1" dataCaption="Values" tag="e406f798-1cb6-4d9b-943b-66ce76f6b14f" updatedVersion="8" minRefreshableVersion="3" useAutoFormatting="1" subtotalHiddenItems="1" itemPrintTitles="1" createdVersion="8" indent="0" outline="1" outlineData="1" multipleFieldFilters="0" rowHeaderCaption="Team Name">
  <location ref="A3:E13"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Matches_Played" fld="4" subtotal="count" baseField="0" baseItem="0"/>
    <dataField fld="3" subtotal="count" baseField="0" baseItem="0"/>
    <dataField fld="1" subtotal="count" baseField="0" baseItem="0"/>
    <dataField fld="2"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tches_Play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103FD-746F-47CC-83EA-AAA157E0D970}" name="PivotTable7" cacheId="73" applyNumberFormats="0" applyBorderFormats="0" applyFontFormats="0" applyPatternFormats="0" applyAlignmentFormats="0" applyWidthHeightFormats="1" dataCaption="Values" tag="fddc79e6-0bc2-4f35-ba7b-81bcd60b595a" updatedVersion="8" minRefreshableVersion="3" useAutoFormatting="1" subtotalHiddenItems="1" itemPrintTitles="1" createdVersion="8" indent="0" outline="1" outlineData="1" multipleFieldFilters="0" chartFormat="11" rowHeaderCaption="Team Name">
  <location ref="G3:H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tches_Play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5FA26-76DA-46E0-8C4C-38BC14CA0C02}" name="PivotTable3" cacheId="72" applyNumberFormats="0" applyBorderFormats="0" applyFontFormats="0" applyPatternFormats="0" applyAlignmentFormats="0" applyWidthHeightFormats="1" dataCaption="Values" tag="213908c5-a6bc-4b68-bc74-566f5da2362b" updatedVersion="8" minRefreshableVersion="3" useAutoFormatting="1" subtotalHiddenItems="1" itemPrintTitles="1" createdVersion="8" indent="0" outline="1" outlineData="1" multipleFieldFilters="0" chartFormat="10" rowHeaderCaption="Venue Name">
  <location ref="G14:H2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 Matches" fld="1" subtotal="count"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tches_Play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6DF81-A523-463C-A7F6-14D383829A82}" name="PivotTable1" cacheId="70" applyNumberFormats="0" applyBorderFormats="0" applyFontFormats="0" applyPatternFormats="0" applyAlignmentFormats="0" applyWidthHeightFormats="1" dataCaption="Values" tag="fddc79e6-0bc2-4f35-ba7b-81bcd60b595a" updatedVersion="8" minRefreshableVersion="3" useAutoFormatting="1" subtotalHiddenItems="1" itemPrintTitles="1" createdVersion="8" indent="0" outline="1" outlineData="1" multipleFieldFilters="0" chartFormat="15" rowHeaderCaption="Team Name">
  <location ref="K3:L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7">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atches_Play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710315-47DA-4BFB-94A7-AC5E24C619E4}" name="PivotTable4" cacheId="74" applyNumberFormats="0" applyBorderFormats="0" applyFontFormats="0" applyPatternFormats="0" applyAlignmentFormats="0" applyWidthHeightFormats="1" dataCaption="Values" tag="43b237b8-96cf-4fd5-8fc4-49165b967a89" updatedVersion="8" minRefreshableVersion="3" useAutoFormatting="1" subtotalHiddenItems="1" itemPrintTitles="1" createdVersion="8" indent="0" outline="1" outlineData="1" multipleFieldFilters="0" chartFormat="15" rowHeaderCaption="Player Name">
  <location ref="I3:J37" firstHeaderRow="1" firstDataRow="1" firstDataCol="1"/>
  <pivotFields count="3">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Player Runs" fld="0"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Runs"/>
    <pivotHierarchy dragToData="1" caption="Total Balls Faced"/>
    <pivotHierarchy dragToData="1" caption="Player Wickets"/>
    <pivotHierarchy dragToData="1" caption="Runs Conceded"/>
    <pivotHierarchy dragToData="1"/>
    <pivotHierarchy dragToData="1" caption="Average of Strike_Rate"/>
    <pivotHierarchy dragToData="1"/>
    <pivotHierarchy dragToData="1" caption="Average of Economy"/>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5E11AC-7303-49F7-BE53-11DFBA8887B3}" name="PivotTable9" cacheId="77" applyNumberFormats="0" applyBorderFormats="0" applyFontFormats="0" applyPatternFormats="0" applyAlignmentFormats="0" applyWidthHeightFormats="1" dataCaption="Values" tag="43b237b8-96cf-4fd5-8fc4-49165b967a89" updatedVersion="8" minRefreshableVersion="3" useAutoFormatting="1" subtotalHiddenItems="1" itemPrintTitles="1" createdVersion="8" indent="0" outline="1" outlineData="1" multipleFieldFilters="0" chartFormat="7" rowHeaderCaption="Player Name">
  <location ref="A77:B111" firstHeaderRow="1" firstDataRow="1" firstDataCol="1"/>
  <pivotFields count="3">
    <pivotField axis="axisRow" allDrilled="1" subtotalTop="0" showAll="0" dataSourceSort="1" defaultSubtotal="0" defaultAttributeDrillState="1">
      <items count="33">
        <item x="0"/>
        <item x="1"/>
        <item x="2"/>
        <item x="3"/>
        <item x="4" e="0"/>
        <item x="5"/>
        <item x="6"/>
        <item x="7"/>
        <item x="8"/>
        <item x="9"/>
        <item x="10"/>
        <item x="11"/>
        <item x="12"/>
        <item x="13" e="0"/>
        <item x="14"/>
        <item x="15"/>
        <item x="16"/>
        <item x="17"/>
        <item x="18"/>
        <item x="19"/>
        <item x="20"/>
        <item x="21" e="0"/>
        <item x="22"/>
        <item x="23"/>
        <item x="24"/>
        <item x="25"/>
        <item x="26"/>
        <item x="27"/>
        <item x="28"/>
        <item x="29"/>
        <item x="30" e="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Economy" fld="1" subtotal="average" baseField="0" baseItem="0" numFmtId="4"/>
  </dataFields>
  <chartFormats count="68">
    <chartFormat chart="0" format="0" series="1">
      <pivotArea type="data" outline="0" fieldPosition="0">
        <references count="1">
          <reference field="4294967294" count="1" selected="0">
            <x v="0"/>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0" count="1" selected="0">
            <x v="0"/>
          </reference>
        </references>
      </pivotArea>
    </chartFormat>
    <chartFormat chart="6" format="37">
      <pivotArea type="data" outline="0" fieldPosition="0">
        <references count="2">
          <reference field="4294967294" count="1" selected="0">
            <x v="0"/>
          </reference>
          <reference field="0" count="1" selected="0">
            <x v="1"/>
          </reference>
        </references>
      </pivotArea>
    </chartFormat>
    <chartFormat chart="6" format="38">
      <pivotArea type="data" outline="0" fieldPosition="0">
        <references count="2">
          <reference field="4294967294" count="1" selected="0">
            <x v="0"/>
          </reference>
          <reference field="0" count="1" selected="0">
            <x v="2"/>
          </reference>
        </references>
      </pivotArea>
    </chartFormat>
    <chartFormat chart="6" format="39">
      <pivotArea type="data" outline="0" fieldPosition="0">
        <references count="2">
          <reference field="4294967294" count="1" selected="0">
            <x v="0"/>
          </reference>
          <reference field="0" count="1" selected="0">
            <x v="3"/>
          </reference>
        </references>
      </pivotArea>
    </chartFormat>
    <chartFormat chart="6" format="40">
      <pivotArea type="data" outline="0" fieldPosition="0">
        <references count="2">
          <reference field="4294967294" count="1" selected="0">
            <x v="0"/>
          </reference>
          <reference field="0" count="1" selected="0">
            <x v="4"/>
          </reference>
        </references>
      </pivotArea>
    </chartFormat>
    <chartFormat chart="6" format="41">
      <pivotArea type="data" outline="0" fieldPosition="0">
        <references count="2">
          <reference field="4294967294" count="1" selected="0">
            <x v="0"/>
          </reference>
          <reference field="0" count="1" selected="0">
            <x v="5"/>
          </reference>
        </references>
      </pivotArea>
    </chartFormat>
    <chartFormat chart="6" format="42">
      <pivotArea type="data" outline="0" fieldPosition="0">
        <references count="2">
          <reference field="4294967294" count="1" selected="0">
            <x v="0"/>
          </reference>
          <reference field="0" count="1" selected="0">
            <x v="6"/>
          </reference>
        </references>
      </pivotArea>
    </chartFormat>
    <chartFormat chart="6" format="43">
      <pivotArea type="data" outline="0" fieldPosition="0">
        <references count="2">
          <reference field="4294967294" count="1" selected="0">
            <x v="0"/>
          </reference>
          <reference field="0" count="1" selected="0">
            <x v="7"/>
          </reference>
        </references>
      </pivotArea>
    </chartFormat>
    <chartFormat chart="6" format="44">
      <pivotArea type="data" outline="0" fieldPosition="0">
        <references count="2">
          <reference field="4294967294" count="1" selected="0">
            <x v="0"/>
          </reference>
          <reference field="0" count="1" selected="0">
            <x v="8"/>
          </reference>
        </references>
      </pivotArea>
    </chartFormat>
    <chartFormat chart="6" format="45">
      <pivotArea type="data" outline="0" fieldPosition="0">
        <references count="2">
          <reference field="4294967294" count="1" selected="0">
            <x v="0"/>
          </reference>
          <reference field="0" count="1" selected="0">
            <x v="9"/>
          </reference>
        </references>
      </pivotArea>
    </chartFormat>
    <chartFormat chart="6" format="46">
      <pivotArea type="data" outline="0" fieldPosition="0">
        <references count="2">
          <reference field="4294967294" count="1" selected="0">
            <x v="0"/>
          </reference>
          <reference field="0" count="1" selected="0">
            <x v="10"/>
          </reference>
        </references>
      </pivotArea>
    </chartFormat>
    <chartFormat chart="6" format="47">
      <pivotArea type="data" outline="0" fieldPosition="0">
        <references count="2">
          <reference field="4294967294" count="1" selected="0">
            <x v="0"/>
          </reference>
          <reference field="0" count="1" selected="0">
            <x v="11"/>
          </reference>
        </references>
      </pivotArea>
    </chartFormat>
    <chartFormat chart="6" format="48">
      <pivotArea type="data" outline="0" fieldPosition="0">
        <references count="2">
          <reference field="4294967294" count="1" selected="0">
            <x v="0"/>
          </reference>
          <reference field="0" count="1" selected="0">
            <x v="12"/>
          </reference>
        </references>
      </pivotArea>
    </chartFormat>
    <chartFormat chart="6" format="49">
      <pivotArea type="data" outline="0" fieldPosition="0">
        <references count="2">
          <reference field="4294967294" count="1" selected="0">
            <x v="0"/>
          </reference>
          <reference field="0" count="1" selected="0">
            <x v="13"/>
          </reference>
        </references>
      </pivotArea>
    </chartFormat>
    <chartFormat chart="6" format="50">
      <pivotArea type="data" outline="0" fieldPosition="0">
        <references count="2">
          <reference field="4294967294" count="1" selected="0">
            <x v="0"/>
          </reference>
          <reference field="0" count="1" selected="0">
            <x v="14"/>
          </reference>
        </references>
      </pivotArea>
    </chartFormat>
    <chartFormat chart="6" format="51">
      <pivotArea type="data" outline="0" fieldPosition="0">
        <references count="2">
          <reference field="4294967294" count="1" selected="0">
            <x v="0"/>
          </reference>
          <reference field="0" count="1" selected="0">
            <x v="15"/>
          </reference>
        </references>
      </pivotArea>
    </chartFormat>
    <chartFormat chart="6" format="52">
      <pivotArea type="data" outline="0" fieldPosition="0">
        <references count="2">
          <reference field="4294967294" count="1" selected="0">
            <x v="0"/>
          </reference>
          <reference field="0" count="1" selected="0">
            <x v="16"/>
          </reference>
        </references>
      </pivotArea>
    </chartFormat>
    <chartFormat chart="6" format="53">
      <pivotArea type="data" outline="0" fieldPosition="0">
        <references count="2">
          <reference field="4294967294" count="1" selected="0">
            <x v="0"/>
          </reference>
          <reference field="0" count="1" selected="0">
            <x v="17"/>
          </reference>
        </references>
      </pivotArea>
    </chartFormat>
    <chartFormat chart="6" format="54">
      <pivotArea type="data" outline="0" fieldPosition="0">
        <references count="2">
          <reference field="4294967294" count="1" selected="0">
            <x v="0"/>
          </reference>
          <reference field="0" count="1" selected="0">
            <x v="18"/>
          </reference>
        </references>
      </pivotArea>
    </chartFormat>
    <chartFormat chart="6" format="55">
      <pivotArea type="data" outline="0" fieldPosition="0">
        <references count="2">
          <reference field="4294967294" count="1" selected="0">
            <x v="0"/>
          </reference>
          <reference field="0" count="1" selected="0">
            <x v="19"/>
          </reference>
        </references>
      </pivotArea>
    </chartFormat>
    <chartFormat chart="6" format="56">
      <pivotArea type="data" outline="0" fieldPosition="0">
        <references count="2">
          <reference field="4294967294" count="1" selected="0">
            <x v="0"/>
          </reference>
          <reference field="0" count="1" selected="0">
            <x v="20"/>
          </reference>
        </references>
      </pivotArea>
    </chartFormat>
    <chartFormat chart="6" format="57">
      <pivotArea type="data" outline="0" fieldPosition="0">
        <references count="2">
          <reference field="4294967294" count="1" selected="0">
            <x v="0"/>
          </reference>
          <reference field="0" count="1" selected="0">
            <x v="21"/>
          </reference>
        </references>
      </pivotArea>
    </chartFormat>
    <chartFormat chart="6" format="58">
      <pivotArea type="data" outline="0" fieldPosition="0">
        <references count="2">
          <reference field="4294967294" count="1" selected="0">
            <x v="0"/>
          </reference>
          <reference field="0" count="1" selected="0">
            <x v="22"/>
          </reference>
        </references>
      </pivotArea>
    </chartFormat>
    <chartFormat chart="6" format="59">
      <pivotArea type="data" outline="0" fieldPosition="0">
        <references count="2">
          <reference field="4294967294" count="1" selected="0">
            <x v="0"/>
          </reference>
          <reference field="0" count="1" selected="0">
            <x v="23"/>
          </reference>
        </references>
      </pivotArea>
    </chartFormat>
    <chartFormat chart="6" format="60">
      <pivotArea type="data" outline="0" fieldPosition="0">
        <references count="2">
          <reference field="4294967294" count="1" selected="0">
            <x v="0"/>
          </reference>
          <reference field="0" count="1" selected="0">
            <x v="24"/>
          </reference>
        </references>
      </pivotArea>
    </chartFormat>
    <chartFormat chart="6" format="61">
      <pivotArea type="data" outline="0" fieldPosition="0">
        <references count="2">
          <reference field="4294967294" count="1" selected="0">
            <x v="0"/>
          </reference>
          <reference field="0" count="1" selected="0">
            <x v="25"/>
          </reference>
        </references>
      </pivotArea>
    </chartFormat>
    <chartFormat chart="6" format="62">
      <pivotArea type="data" outline="0" fieldPosition="0">
        <references count="2">
          <reference field="4294967294" count="1" selected="0">
            <x v="0"/>
          </reference>
          <reference field="0" count="1" selected="0">
            <x v="26"/>
          </reference>
        </references>
      </pivotArea>
    </chartFormat>
    <chartFormat chart="6" format="63">
      <pivotArea type="data" outline="0" fieldPosition="0">
        <references count="2">
          <reference field="4294967294" count="1" selected="0">
            <x v="0"/>
          </reference>
          <reference field="0" count="1" selected="0">
            <x v="27"/>
          </reference>
        </references>
      </pivotArea>
    </chartFormat>
    <chartFormat chart="6" format="64">
      <pivotArea type="data" outline="0" fieldPosition="0">
        <references count="2">
          <reference field="4294967294" count="1" selected="0">
            <x v="0"/>
          </reference>
          <reference field="0" count="1" selected="0">
            <x v="28"/>
          </reference>
        </references>
      </pivotArea>
    </chartFormat>
    <chartFormat chart="6" format="65">
      <pivotArea type="data" outline="0" fieldPosition="0">
        <references count="2">
          <reference field="4294967294" count="1" selected="0">
            <x v="0"/>
          </reference>
          <reference field="0" count="1" selected="0">
            <x v="29"/>
          </reference>
        </references>
      </pivotArea>
    </chartFormat>
    <chartFormat chart="6" format="66">
      <pivotArea type="data" outline="0" fieldPosition="0">
        <references count="2">
          <reference field="4294967294" count="1" selected="0">
            <x v="0"/>
          </reference>
          <reference field="0" count="1" selected="0">
            <x v="30"/>
          </reference>
        </references>
      </pivotArea>
    </chartFormat>
    <chartFormat chart="6" format="67">
      <pivotArea type="data" outline="0" fieldPosition="0">
        <references count="2">
          <reference field="4294967294" count="1" selected="0">
            <x v="0"/>
          </reference>
          <reference field="0" count="1" selected="0">
            <x v="31"/>
          </reference>
        </references>
      </pivotArea>
    </chartFormat>
    <chartFormat chart="6" format="68">
      <pivotArea type="data" outline="0" fieldPosition="0">
        <references count="2">
          <reference field="4294967294" count="1" selected="0">
            <x v="0"/>
          </reference>
          <reference field="0" count="1" selected="0">
            <x v="3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0" format="17">
      <pivotArea type="data" outline="0" fieldPosition="0">
        <references count="2">
          <reference field="4294967294" count="1" selected="0">
            <x v="0"/>
          </reference>
          <reference field="0" count="1" selected="0">
            <x v="16"/>
          </reference>
        </references>
      </pivotArea>
    </chartFormat>
    <chartFormat chart="0" format="18">
      <pivotArea type="data" outline="0" fieldPosition="0">
        <references count="2">
          <reference field="4294967294" count="1" selected="0">
            <x v="0"/>
          </reference>
          <reference field="0" count="1" selected="0">
            <x v="17"/>
          </reference>
        </references>
      </pivotArea>
    </chartFormat>
    <chartFormat chart="0" format="19">
      <pivotArea type="data" outline="0" fieldPosition="0">
        <references count="2">
          <reference field="4294967294" count="1" selected="0">
            <x v="0"/>
          </reference>
          <reference field="0" count="1" selected="0">
            <x v="18"/>
          </reference>
        </references>
      </pivotArea>
    </chartFormat>
    <chartFormat chart="0" format="20">
      <pivotArea type="data" outline="0" fieldPosition="0">
        <references count="2">
          <reference field="4294967294" count="1" selected="0">
            <x v="0"/>
          </reference>
          <reference field="0" count="1" selected="0">
            <x v="19"/>
          </reference>
        </references>
      </pivotArea>
    </chartFormat>
    <chartFormat chart="0" format="21">
      <pivotArea type="data" outline="0" fieldPosition="0">
        <references count="2">
          <reference field="4294967294" count="1" selected="0">
            <x v="0"/>
          </reference>
          <reference field="0" count="1" selected="0">
            <x v="20"/>
          </reference>
        </references>
      </pivotArea>
    </chartFormat>
    <chartFormat chart="0" format="22">
      <pivotArea type="data" outline="0" fieldPosition="0">
        <references count="2">
          <reference field="4294967294" count="1" selected="0">
            <x v="0"/>
          </reference>
          <reference field="0" count="1" selected="0">
            <x v="21"/>
          </reference>
        </references>
      </pivotArea>
    </chartFormat>
    <chartFormat chart="0" format="23">
      <pivotArea type="data" outline="0" fieldPosition="0">
        <references count="2">
          <reference field="4294967294" count="1" selected="0">
            <x v="0"/>
          </reference>
          <reference field="0" count="1" selected="0">
            <x v="22"/>
          </reference>
        </references>
      </pivotArea>
    </chartFormat>
    <chartFormat chart="0" format="24">
      <pivotArea type="data" outline="0" fieldPosition="0">
        <references count="2">
          <reference field="4294967294" count="1" selected="0">
            <x v="0"/>
          </reference>
          <reference field="0" count="1" selected="0">
            <x v="23"/>
          </reference>
        </references>
      </pivotArea>
    </chartFormat>
    <chartFormat chart="0" format="25">
      <pivotArea type="data" outline="0" fieldPosition="0">
        <references count="2">
          <reference field="4294967294" count="1" selected="0">
            <x v="0"/>
          </reference>
          <reference field="0" count="1" selected="0">
            <x v="24"/>
          </reference>
        </references>
      </pivotArea>
    </chartFormat>
    <chartFormat chart="0" format="26">
      <pivotArea type="data" outline="0" fieldPosition="0">
        <references count="2">
          <reference field="4294967294" count="1" selected="0">
            <x v="0"/>
          </reference>
          <reference field="0" count="1" selected="0">
            <x v="25"/>
          </reference>
        </references>
      </pivotArea>
    </chartFormat>
    <chartFormat chart="0" format="27">
      <pivotArea type="data" outline="0" fieldPosition="0">
        <references count="2">
          <reference field="4294967294" count="1" selected="0">
            <x v="0"/>
          </reference>
          <reference field="0" count="1" selected="0">
            <x v="26"/>
          </reference>
        </references>
      </pivotArea>
    </chartFormat>
    <chartFormat chart="0" format="28">
      <pivotArea type="data" outline="0" fieldPosition="0">
        <references count="2">
          <reference field="4294967294" count="1" selected="0">
            <x v="0"/>
          </reference>
          <reference field="0" count="1" selected="0">
            <x v="27"/>
          </reference>
        </references>
      </pivotArea>
    </chartFormat>
    <chartFormat chart="0" format="29">
      <pivotArea type="data" outline="0" fieldPosition="0">
        <references count="2">
          <reference field="4294967294" count="1" selected="0">
            <x v="0"/>
          </reference>
          <reference field="0" count="1" selected="0">
            <x v="28"/>
          </reference>
        </references>
      </pivotArea>
    </chartFormat>
    <chartFormat chart="0" format="30">
      <pivotArea type="data" outline="0" fieldPosition="0">
        <references count="2">
          <reference field="4294967294" count="1" selected="0">
            <x v="0"/>
          </reference>
          <reference field="0" count="1" selected="0">
            <x v="29"/>
          </reference>
        </references>
      </pivotArea>
    </chartFormat>
    <chartFormat chart="0" format="31">
      <pivotArea type="data" outline="0" fieldPosition="0">
        <references count="2">
          <reference field="4294967294" count="1" selected="0">
            <x v="0"/>
          </reference>
          <reference field="0" count="1" selected="0">
            <x v="30"/>
          </reference>
        </references>
      </pivotArea>
    </chartFormat>
    <chartFormat chart="0" format="32">
      <pivotArea type="data" outline="0" fieldPosition="0">
        <references count="2">
          <reference field="4294967294" count="1" selected="0">
            <x v="0"/>
          </reference>
          <reference field="0" count="1" selected="0">
            <x v="31"/>
          </reference>
        </references>
      </pivotArea>
    </chartFormat>
    <chartFormat chart="0" format="33">
      <pivotArea type="data" outline="0" fieldPosition="0">
        <references count="2">
          <reference field="4294967294" count="1" selected="0">
            <x v="0"/>
          </reference>
          <reference field="0" count="1" selected="0">
            <x v="32"/>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Runs"/>
    <pivotHierarchy dragToData="1" caption="Total Balls Faced"/>
    <pivotHierarchy dragToData="1" caption="Player Wickets"/>
    <pivotHierarchy dragToData="1" caption="Runs Conceded"/>
    <pivotHierarchy dragToData="1"/>
    <pivotHierarchy dragToData="1" caption="Average of Strike_Rate"/>
    <pivotHierarchy dragToData="1"/>
    <pivotHierarchy dragToData="1" caption="Average of Economy"/>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7EBB89-0EF5-46A5-B3C9-A9B20B50EC5B}" name="PivotTable8" cacheId="76" applyNumberFormats="0" applyBorderFormats="0" applyFontFormats="0" applyPatternFormats="0" applyAlignmentFormats="0" applyWidthHeightFormats="1" dataCaption="Values" tag="43b237b8-96cf-4fd5-8fc4-49165b967a89" updatedVersion="8" minRefreshableVersion="3" useAutoFormatting="1" subtotalHiddenItems="1" itemPrintTitles="1" createdVersion="8" indent="0" outline="1" outlineData="1" multipleFieldFilters="0" chartFormat="14" rowHeaderCaption="Player Name">
  <location ref="D40:E74"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Strike_Rate" fld="1" subtotal="average" baseField="0" baseItem="0" numFmtId="4"/>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Runs"/>
    <pivotHierarchy dragToData="1" caption="Total Balls Faced"/>
    <pivotHierarchy dragToData="1" caption="Player Wickets"/>
    <pivotHierarchy dragToData="1" caption="Runs Conceded"/>
    <pivotHierarchy dragToData="1"/>
    <pivotHierarchy dragToData="1" caption="Average of Strike_Rate"/>
    <pivotHierarchy dragToData="1"/>
    <pivotHierarchy dragToData="1" caption="Average of Economy"/>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4EDFE0-D71B-40C5-9608-4AE769A52275}" name="PivotTable1" cacheId="78" applyNumberFormats="0" applyBorderFormats="0" applyFontFormats="0" applyPatternFormats="0" applyAlignmentFormats="0" applyWidthHeightFormats="1" dataCaption="Values" tag="43b237b8-96cf-4fd5-8fc4-49165b967a89" updatedVersion="8" minRefreshableVersion="3" useAutoFormatting="1" subtotalHiddenItems="1" itemPrintTitles="1" createdVersion="8" indent="0" outline="1" outlineData="1" multipleFieldFilters="0" chartFormat="15" rowHeaderCaption="Player Name">
  <location ref="A3:F37" firstHeaderRow="0" firstDataRow="1" firstDataCol="1"/>
  <pivotFields count="6">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5">
    <i>
      <x/>
    </i>
    <i i="1">
      <x v="1"/>
    </i>
    <i i="2">
      <x v="2"/>
    </i>
    <i i="3">
      <x v="3"/>
    </i>
    <i i="4">
      <x v="4"/>
    </i>
  </colItems>
  <dataFields count="5">
    <dataField name="Player Runs" fld="0" baseField="0" baseItem="0"/>
    <dataField name="Runs Conceded" fld="2" baseField="0" baseItem="0"/>
    <dataField name="Wickets Taken" fld="3" baseField="0" baseItem="0"/>
    <dataField name="Average of Strike_Rate" fld="4" subtotal="average" baseField="1" baseItem="1" numFmtId="4"/>
    <dataField name="Average of Economy" fld="5" subtotal="average" baseField="1" baseItem="3" numFmtId="4"/>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Runs"/>
    <pivotHierarchy dragToData="1" caption="Total Balls Faced"/>
    <pivotHierarchy dragToData="1" caption="Player Wickets"/>
    <pivotHierarchy dragToData="1" caption="Wickets Taken"/>
    <pivotHierarchy dragToData="1"/>
    <pivotHierarchy dragToData="1" caption="Average of Strike_Rate"/>
    <pivotHierarchy dragToData="1"/>
    <pivotHierarchy dragToData="1" caption="Average of Econom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0537B0-9812-4925-A92C-A372FA0F0192}" name="PivotTable6" cacheId="75" applyNumberFormats="0" applyBorderFormats="0" applyFontFormats="0" applyPatternFormats="0" applyAlignmentFormats="0" applyWidthHeightFormats="1" dataCaption="Values" tag="43b237b8-96cf-4fd5-8fc4-49165b967a89" updatedVersion="8" minRefreshableVersion="3" useAutoFormatting="1" subtotalHiddenItems="1" itemPrintTitles="1" createdVersion="8" indent="0" outline="1" outlineData="1" multipleFieldFilters="0" chartFormat="7" rowHeaderCaption="Player Name">
  <location ref="A40:B74"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Player Wickets"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Runs"/>
    <pivotHierarchy dragToData="1" caption="Total Balls Faced"/>
    <pivotHierarchy dragToData="1" caption="Player Wickets"/>
    <pivotHierarchy dragToData="1" caption="Runs Conceded"/>
    <pivotHierarchy dragToData="1"/>
    <pivotHierarchy dragToData="1" caption="Average of Strike_Rate"/>
    <pivotHierarchy dragToData="1"/>
    <pivotHierarchy dragToData="1" caption="Average of Economy"/>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yer]"/>
        <x15:activeTabTopLevelEntity name="[dim_player]"/>
        <x15:activeTabTopLevelEntity name="[dim_team]"/>
        <x15:activeTabTopLevelEntity name="[fact_match]"/>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5595D31D-7A02-4FBA-9159-A370A6228E1A}"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67B0503F-9065-436A-BEB3-9BA46F2D6D39}"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02F107A6-498E-47E7-ACF7-D44BECE2D7A8}"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6A389391-5274-428C-AE53-D41F97FEDB10}"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48E571E2-6E53-48FD-86CE-DF73EE219B04}"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FBF6A1E3-4AD0-4AE0-AC7B-C3FA20C77781}" sourceName="[dim_team].[Team_Name]">
  <pivotTables>
    <pivotTable tabId="8" name="PivotTable6"/>
    <pivotTable tabId="8" name="PivotTable1"/>
    <pivotTable tabId="8" name="PivotTable2"/>
    <pivotTable tabId="8" name="PivotTable3"/>
    <pivotTable tabId="8" name="PivotTable7"/>
    <pivotTable tabId="11" name="PivotTable4"/>
    <pivotTable tabId="11" name="PivotTable6"/>
    <pivotTable tabId="11" name="PivotTable8"/>
    <pivotTable tabId="11" name="PivotTable9"/>
    <pivotTable tabId="11" name="PivotTable1"/>
  </pivotTables>
  <data>
    <olap pivotCacheId="1957928468">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4DC8289A-55B0-4DDA-BC93-380FD65E2B26}" sourceName="[fact_match].[Venue_Name]">
  <pivotTables>
    <pivotTable tabId="8" name="PivotTable6"/>
    <pivotTable tabId="8" name="PivotTable1"/>
    <pivotTable tabId="8" name="PivotTable2"/>
    <pivotTable tabId="8" name="PivotTable3"/>
    <pivotTable tabId="8" name="PivotTable7"/>
    <pivotTable tabId="11" name="PivotTable4"/>
    <pivotTable tabId="11" name="PivotTable6"/>
    <pivotTable tabId="11" name="PivotTable8"/>
    <pivotTable tabId="11" name="PivotTable9"/>
    <pivotTable tabId="11" name="PivotTable1"/>
  </pivotTables>
  <data>
    <olap pivotCacheId="1957928468">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F110093B-3BF1-499F-AD80-3F89B28E721B}" cache="Slicer_Venue_Name" caption="Venue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FBC6A12A-9D78-459E-8FB5-AACA25492367}" cache="Slicer_Team_Name" caption="Team_Name" level="1" rowHeight="247650"/>
  <slicer name="Venue_Name" xr10:uid="{FFB08EE4-1A14-4A5D-B715-3EA7C5CBC609}" cache="Slicer_Venue_Name" caption="Venue_Nam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2" xr10:uid="{F50E4438-FCBC-45FA-B407-6EA0EC82390D}" cache="Slicer_Venue_Name" caption="Venue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12AB9A-4C2C-49B8-8F3F-B58375094F81}" name="fact_player" displayName="fact_player" ref="A1:K202" tableType="queryTable" totalsRowShown="0">
  <autoFilter ref="A1:K202" xr:uid="{7D12AB9A-4C2C-49B8-8F3F-B58375094F81}"/>
  <tableColumns count="11">
    <tableColumn id="1" xr3:uid="{FAC19F97-4857-4098-877E-6F2CCF17F74A}" uniqueName="1" name="Match_ID" queryTableFieldId="1" dataDxfId="28"/>
    <tableColumn id="2" xr3:uid="{FB2EEE42-EB7C-446A-BB12-5C2F72158BFA}" uniqueName="2" name="Player_ID" queryTableFieldId="2" dataDxfId="27"/>
    <tableColumn id="3" xr3:uid="{0B79136D-EE0A-4A87-B38B-B38C6DBC9B6B}" uniqueName="3" name="Runs" queryTableFieldId="3"/>
    <tableColumn id="4" xr3:uid="{7C85071C-DCAB-4EEC-B86F-618141F9AA76}" uniqueName="4" name="Balls_Faced" queryTableFieldId="4"/>
    <tableColumn id="5" xr3:uid="{E4321677-C864-48C9-8288-F0379332E883}" uniqueName="5" name="Fours" queryTableFieldId="5"/>
    <tableColumn id="6" xr3:uid="{5FED65C1-91FC-4DB2-BF54-52B9163100E8}" uniqueName="6" name="Sixes" queryTableFieldId="6"/>
    <tableColumn id="7" xr3:uid="{7B834D69-7F1E-468D-8FF9-2DB3075FA687}" uniqueName="7" name="Strike_Rate" queryTableFieldId="7"/>
    <tableColumn id="8" xr3:uid="{B14C8B7B-4BB8-4D66-BB67-CF22179B84C8}" uniqueName="8" name="Overs_Bowled" queryTableFieldId="8"/>
    <tableColumn id="9" xr3:uid="{5772898E-478C-4E3C-ABF9-712926082163}" uniqueName="9" name="Runs_Conceded" queryTableFieldId="9"/>
    <tableColumn id="10" xr3:uid="{5105CEDC-6BE9-4DE6-95B7-4428082354CF}" uniqueName="10" name="Wickets" queryTableFieldId="10"/>
    <tableColumn id="11" xr3:uid="{B2E83D67-3562-4B89-B4E4-FF0122C9ED2A}" uniqueName="11" name="Economy"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3C2CCB-F999-46CD-89C8-DAA39B1D3AE5}" name="fact_match" displayName="fact_match" ref="A1:N61" tableType="queryTable" totalsRowShown="0">
  <autoFilter ref="A1:N61" xr:uid="{AD3C2CCB-F999-46CD-89C8-DAA39B1D3AE5}"/>
  <tableColumns count="14">
    <tableColumn id="1" xr3:uid="{C7F0C2AE-69A2-4C08-9DDF-38E600FB30BD}" uniqueName="1" name="Match_ID" queryTableFieldId="1" dataDxfId="26"/>
    <tableColumn id="2" xr3:uid="{1FB711ED-A209-44B9-984C-5FDD4066DFF2}" uniqueName="2" name="Date" queryTableFieldId="2" dataDxfId="25"/>
    <tableColumn id="3" xr3:uid="{93BBBCE9-5191-4861-A38E-3EDBF42C82EA}" uniqueName="3" name="Venue_ID" queryTableFieldId="3" dataDxfId="24"/>
    <tableColumn id="4" xr3:uid="{973B264F-A3E9-4FFB-9411-4E9E30459CD8}" uniqueName="4" name="Team1_ID" queryTableFieldId="4" dataDxfId="23"/>
    <tableColumn id="5" xr3:uid="{99697AB7-0BA4-49CA-8EBF-0D3A889FFED3}" uniqueName="5" name="Team2_ID" queryTableFieldId="5" dataDxfId="22"/>
    <tableColumn id="6" xr3:uid="{4227D01F-1A75-4D12-BE02-67A351743D29}" uniqueName="6" name="Toss_Winner" queryTableFieldId="6" dataDxfId="21"/>
    <tableColumn id="7" xr3:uid="{AACCC20A-5D2C-48DE-BC7D-97C65E4D7352}" uniqueName="7" name="Match_Winner" queryTableFieldId="7" dataDxfId="20"/>
    <tableColumn id="8" xr3:uid="{28F07D09-D377-4CE9-9A52-582B01EE01DF}" uniqueName="8" name="Man_of_Match" queryTableFieldId="8" dataDxfId="19"/>
    <tableColumn id="9" xr3:uid="{45F36CE4-D079-4A51-B0AE-4339B4F48617}" uniqueName="9" name="Team1_Runs" queryTableFieldId="9"/>
    <tableColumn id="10" xr3:uid="{EBB54BFA-FC2C-4CA8-B9BE-F1906AC1774D}" uniqueName="10" name="Team2_Runs" queryTableFieldId="10"/>
    <tableColumn id="11" xr3:uid="{2D556978-2F92-45B9-802A-9B0313990A6B}" uniqueName="11" name="Team1_Wickets" queryTableFieldId="11"/>
    <tableColumn id="12" xr3:uid="{CB01B6B6-AB66-4A19-BF66-EB04665C0699}" uniqueName="12" name="Team2_Wickets" queryTableFieldId="12"/>
    <tableColumn id="13" xr3:uid="{D7977558-F799-4295-8D0D-72AC3308BD0A}" uniqueName="13" name="Overs_Team1" queryTableFieldId="13"/>
    <tableColumn id="14" xr3:uid="{EBDC9E64-5921-4913-805D-155D2D605308}"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DA791-35EC-4F54-8EB9-BF63DDB0A946}" name="dim_venue" displayName="dim_venue" ref="A1:D11" tableType="queryTable" totalsRowShown="0">
  <autoFilter ref="A1:D11" xr:uid="{34FDA791-35EC-4F54-8EB9-BF63DDB0A946}"/>
  <tableColumns count="4">
    <tableColumn id="1" xr3:uid="{04A56CAE-55E0-4879-B43C-4F2546A911DB}" uniqueName="1" name="Venue_ID" queryTableFieldId="1" dataDxfId="18"/>
    <tableColumn id="2" xr3:uid="{32312C18-8BCD-436D-B6D8-1AE068CD6A78}" uniqueName="2" name="Venue_Name" queryTableFieldId="2" dataDxfId="17"/>
    <tableColumn id="3" xr3:uid="{D6E5C68C-DA0E-4ED3-86DB-D31716C2675A}" uniqueName="3" name="City" queryTableFieldId="3" dataDxfId="16"/>
    <tableColumn id="4" xr3:uid="{F102A7E3-8176-4349-80D2-23D27107AD19}" uniqueName="4" name="Capacity" queryTableFieldId="4"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42D9CC-A96C-4EB7-99B5-5E57C7511A1B}" name="dim_team" displayName="dim_team" ref="A1:G9" tableType="queryTable" totalsRowShown="0">
  <autoFilter ref="A1:G9" xr:uid="{8842D9CC-A96C-4EB7-99B5-5E57C7511A1B}"/>
  <tableColumns count="7">
    <tableColumn id="1" xr3:uid="{DE19F395-7E8D-4D80-96F6-F6FECFB3FE52}" uniqueName="1" name="Team_ID" queryTableFieldId="1" dataDxfId="14"/>
    <tableColumn id="2" xr3:uid="{A4FAE667-B4FC-456B-B430-BFE186EE058C}" uniqueName="2" name="Team_Name" queryTableFieldId="2" dataDxfId="13"/>
    <tableColumn id="3" xr3:uid="{0C5C9B32-DEFF-421F-99A5-B5B5965C279E}" uniqueName="3" name="Captain" queryTableFieldId="3" dataDxfId="12"/>
    <tableColumn id="4" xr3:uid="{0D5B8973-3C41-4FC3-8062-C0F2261B29FC}" uniqueName="4" name="Coach" queryTableFieldId="4" dataDxfId="11"/>
    <tableColumn id="5" xr3:uid="{5E662BCF-EBF7-4255-A100-12B50BFC40C0}" uniqueName="5" name="Home_Ground" queryTableFieldId="5" dataDxfId="10"/>
    <tableColumn id="6" xr3:uid="{A36F5A8C-8FBA-4B03-8B39-6257F0D87081}" uniqueName="6" name="City" queryTableFieldId="6" dataDxfId="9"/>
    <tableColumn id="7" xr3:uid="{FF0DE092-5472-4079-A2A7-2E779F970A6F}" uniqueName="7" name="Owner" queryTableFieldId="7"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6531EB-E61C-4B82-8256-79D175A5F208}" name="dim_player" displayName="dim_player" ref="A1:H34" tableType="queryTable" totalsRowShown="0">
  <autoFilter ref="A1:H34" xr:uid="{FE6531EB-E61C-4B82-8256-79D175A5F208}"/>
  <tableColumns count="8">
    <tableColumn id="1" xr3:uid="{A38DBA81-25B1-45DF-9C55-5E9F94E6AF32}" uniqueName="1" name="Player_ID" queryTableFieldId="1" dataDxfId="7"/>
    <tableColumn id="2" xr3:uid="{4138AF2F-69FD-4E1B-B004-11D34BEF093B}" uniqueName="2" name="Player_Name" queryTableFieldId="2" dataDxfId="6"/>
    <tableColumn id="3" xr3:uid="{24FE3225-444B-43E9-AF90-D7F16BE42DD5}" uniqueName="3" name="Team_ID" queryTableFieldId="3" dataDxfId="5"/>
    <tableColumn id="4" xr3:uid="{1B863CC6-A586-4EDC-945E-6E875A578D91}" uniqueName="4" name="Role" queryTableFieldId="4" dataDxfId="4"/>
    <tableColumn id="5" xr3:uid="{5E70FBAF-065D-4E71-8995-ED9B0F906763}" uniqueName="5" name="Nationality" queryTableFieldId="5" dataDxfId="3"/>
    <tableColumn id="6" xr3:uid="{57975DF1-F5D3-4DD3-BE86-7B08EC118322}" uniqueName="6" name="Age" queryTableFieldId="6" dataDxfId="2"/>
    <tableColumn id="7" xr3:uid="{AE190D88-93D4-42BF-8569-950763288E5E}" uniqueName="7" name="Batting_Style" queryTableFieldId="7" dataDxfId="1"/>
    <tableColumn id="8" xr3:uid="{BE29F9D5-00B3-4EB8-AF5D-B0A5E9A87B74}" uniqueName="8" name="Bowling_Styl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5BFC-2ABB-4540-BEFC-D2C549F81454}">
  <dimension ref="A3:L25"/>
  <sheetViews>
    <sheetView zoomScale="59" workbookViewId="0">
      <selection activeCell="AC19" sqref="AC19"/>
    </sheetView>
  </sheetViews>
  <sheetFormatPr defaultRowHeight="14.4" x14ac:dyDescent="0.3"/>
  <cols>
    <col min="1" max="1" width="34.33203125" bestFit="1" customWidth="1"/>
    <col min="2" max="2" width="18.21875" bestFit="1" customWidth="1"/>
    <col min="3" max="4" width="12.109375" bestFit="1" customWidth="1"/>
    <col min="5" max="5" width="15.88671875" bestFit="1" customWidth="1"/>
    <col min="7" max="7" width="34.33203125" bestFit="1" customWidth="1"/>
    <col min="8" max="8" width="12.109375" bestFit="1" customWidth="1"/>
    <col min="11" max="11" width="17.21875" bestFit="1" customWidth="1"/>
    <col min="12" max="12" width="12.109375" bestFit="1" customWidth="1"/>
  </cols>
  <sheetData>
    <row r="3" spans="1:12" x14ac:dyDescent="0.3">
      <c r="A3" s="2" t="s">
        <v>372</v>
      </c>
      <c r="B3" t="s">
        <v>367</v>
      </c>
      <c r="C3" t="s">
        <v>366</v>
      </c>
      <c r="D3" t="s">
        <v>364</v>
      </c>
      <c r="E3" t="s">
        <v>365</v>
      </c>
      <c r="G3" s="2" t="s">
        <v>372</v>
      </c>
      <c r="H3" t="s">
        <v>364</v>
      </c>
      <c r="K3" s="2" t="s">
        <v>372</v>
      </c>
      <c r="L3" t="s">
        <v>364</v>
      </c>
    </row>
    <row r="4" spans="1:12" x14ac:dyDescent="0.3">
      <c r="A4" s="3" t="s">
        <v>133</v>
      </c>
      <c r="B4">
        <v>8</v>
      </c>
      <c r="C4" s="4">
        <v>5</v>
      </c>
      <c r="D4" s="4">
        <v>2869</v>
      </c>
      <c r="E4" s="4">
        <v>103</v>
      </c>
      <c r="G4" s="3" t="s">
        <v>133</v>
      </c>
      <c r="H4" s="4">
        <v>2869</v>
      </c>
      <c r="K4" s="3" t="s">
        <v>373</v>
      </c>
      <c r="L4" s="4">
        <v>13297</v>
      </c>
    </row>
    <row r="5" spans="1:12" x14ac:dyDescent="0.3">
      <c r="A5" s="3" t="s">
        <v>151</v>
      </c>
      <c r="B5">
        <v>7</v>
      </c>
      <c r="C5" s="4">
        <v>2</v>
      </c>
      <c r="D5" s="4">
        <v>2420</v>
      </c>
      <c r="E5" s="4">
        <v>85</v>
      </c>
      <c r="G5" s="3" t="s">
        <v>151</v>
      </c>
      <c r="H5" s="4">
        <v>2420</v>
      </c>
      <c r="K5" s="3" t="s">
        <v>374</v>
      </c>
      <c r="L5" s="4">
        <v>7647</v>
      </c>
    </row>
    <row r="6" spans="1:12" x14ac:dyDescent="0.3">
      <c r="A6" s="3" t="s">
        <v>145</v>
      </c>
      <c r="B6">
        <v>8</v>
      </c>
      <c r="C6" s="4">
        <v>4</v>
      </c>
      <c r="D6" s="4">
        <v>2788</v>
      </c>
      <c r="E6" s="4">
        <v>107</v>
      </c>
      <c r="G6" s="3" t="s">
        <v>145</v>
      </c>
      <c r="H6" s="4">
        <v>2788</v>
      </c>
      <c r="K6" s="3" t="s">
        <v>363</v>
      </c>
      <c r="L6" s="4">
        <v>20944</v>
      </c>
    </row>
    <row r="7" spans="1:12" x14ac:dyDescent="0.3">
      <c r="A7" s="3" t="s">
        <v>127</v>
      </c>
      <c r="B7">
        <v>8</v>
      </c>
      <c r="C7" s="4">
        <v>4</v>
      </c>
      <c r="D7" s="4">
        <v>2735</v>
      </c>
      <c r="E7" s="4">
        <v>110</v>
      </c>
      <c r="G7" s="3" t="s">
        <v>127</v>
      </c>
      <c r="H7" s="4">
        <v>2735</v>
      </c>
    </row>
    <row r="8" spans="1:12" x14ac:dyDescent="0.3">
      <c r="A8" s="3" t="s">
        <v>163</v>
      </c>
      <c r="B8">
        <v>7</v>
      </c>
      <c r="C8" s="4">
        <v>2</v>
      </c>
      <c r="D8" s="4">
        <v>2458</v>
      </c>
      <c r="E8" s="4">
        <v>89</v>
      </c>
      <c r="G8" s="3" t="s">
        <v>163</v>
      </c>
      <c r="H8" s="4">
        <v>2458</v>
      </c>
    </row>
    <row r="9" spans="1:12" x14ac:dyDescent="0.3">
      <c r="A9" s="3" t="s">
        <v>157</v>
      </c>
      <c r="B9">
        <v>7</v>
      </c>
      <c r="C9" s="4">
        <v>4</v>
      </c>
      <c r="D9" s="4">
        <v>2318</v>
      </c>
      <c r="E9" s="4">
        <v>105</v>
      </c>
      <c r="G9" s="3" t="s">
        <v>157</v>
      </c>
      <c r="H9" s="4">
        <v>2318</v>
      </c>
    </row>
    <row r="10" spans="1:12" x14ac:dyDescent="0.3">
      <c r="A10" s="3" t="s">
        <v>139</v>
      </c>
      <c r="B10">
        <v>7</v>
      </c>
      <c r="C10" s="4">
        <v>4</v>
      </c>
      <c r="D10" s="4">
        <v>2600</v>
      </c>
      <c r="E10" s="4">
        <v>88</v>
      </c>
      <c r="G10" s="3" t="s">
        <v>139</v>
      </c>
      <c r="H10" s="4">
        <v>2600</v>
      </c>
    </row>
    <row r="11" spans="1:12" x14ac:dyDescent="0.3">
      <c r="A11" s="3" t="s">
        <v>169</v>
      </c>
      <c r="B11">
        <v>8</v>
      </c>
      <c r="C11" s="4">
        <v>5</v>
      </c>
      <c r="D11" s="4">
        <v>2756</v>
      </c>
      <c r="E11" s="4">
        <v>112</v>
      </c>
      <c r="G11" s="3" t="s">
        <v>169</v>
      </c>
      <c r="H11" s="4">
        <v>2756</v>
      </c>
    </row>
    <row r="12" spans="1:12" x14ac:dyDescent="0.3">
      <c r="A12" s="3" t="s">
        <v>378</v>
      </c>
      <c r="C12" s="4">
        <v>0</v>
      </c>
      <c r="D12" s="4"/>
      <c r="E12" s="4"/>
      <c r="G12" s="3" t="s">
        <v>363</v>
      </c>
      <c r="H12" s="4">
        <v>20944</v>
      </c>
    </row>
    <row r="13" spans="1:12" x14ac:dyDescent="0.3">
      <c r="A13" s="3" t="s">
        <v>363</v>
      </c>
      <c r="B13">
        <v>60</v>
      </c>
      <c r="C13" s="4">
        <v>0</v>
      </c>
      <c r="D13" s="4">
        <v>20944</v>
      </c>
      <c r="E13" s="4">
        <v>799</v>
      </c>
    </row>
    <row r="14" spans="1:12" x14ac:dyDescent="0.3">
      <c r="G14" s="2" t="s">
        <v>376</v>
      </c>
      <c r="H14" t="s">
        <v>375</v>
      </c>
    </row>
    <row r="15" spans="1:12" x14ac:dyDescent="0.3">
      <c r="A15" s="2" t="s">
        <v>372</v>
      </c>
      <c r="B15" t="s">
        <v>366</v>
      </c>
      <c r="G15" s="3" t="s">
        <v>154</v>
      </c>
      <c r="H15">
        <v>7</v>
      </c>
    </row>
    <row r="16" spans="1:12" x14ac:dyDescent="0.3">
      <c r="A16" s="3" t="s">
        <v>133</v>
      </c>
      <c r="B16" s="4">
        <v>5</v>
      </c>
      <c r="G16" s="3" t="s">
        <v>148</v>
      </c>
      <c r="H16">
        <v>8</v>
      </c>
    </row>
    <row r="17" spans="1:8" x14ac:dyDescent="0.3">
      <c r="A17" s="3" t="s">
        <v>151</v>
      </c>
      <c r="B17" s="4">
        <v>2</v>
      </c>
      <c r="D17">
        <f>COUNTA(A16:A23)</f>
        <v>8</v>
      </c>
      <c r="G17" s="3" t="s">
        <v>136</v>
      </c>
      <c r="H17">
        <v>8</v>
      </c>
    </row>
    <row r="18" spans="1:8" x14ac:dyDescent="0.3">
      <c r="A18" s="3" t="s">
        <v>145</v>
      </c>
      <c r="B18" s="4">
        <v>4</v>
      </c>
      <c r="G18" s="3" t="s">
        <v>142</v>
      </c>
      <c r="H18">
        <v>7</v>
      </c>
    </row>
    <row r="19" spans="1:8" x14ac:dyDescent="0.3">
      <c r="A19" s="3" t="s">
        <v>127</v>
      </c>
      <c r="B19" s="4">
        <v>4</v>
      </c>
      <c r="G19" s="3" t="s">
        <v>166</v>
      </c>
      <c r="H19">
        <v>7</v>
      </c>
    </row>
    <row r="20" spans="1:8" x14ac:dyDescent="0.3">
      <c r="A20" s="3" t="s">
        <v>163</v>
      </c>
      <c r="B20" s="4">
        <v>2</v>
      </c>
      <c r="G20" s="3" t="s">
        <v>172</v>
      </c>
      <c r="H20">
        <v>8</v>
      </c>
    </row>
    <row r="21" spans="1:8" x14ac:dyDescent="0.3">
      <c r="A21" s="3" t="s">
        <v>157</v>
      </c>
      <c r="B21" s="4">
        <v>4</v>
      </c>
      <c r="G21" s="3" t="s">
        <v>160</v>
      </c>
      <c r="H21">
        <v>7</v>
      </c>
    </row>
    <row r="22" spans="1:8" x14ac:dyDescent="0.3">
      <c r="A22" s="3" t="s">
        <v>139</v>
      </c>
      <c r="B22" s="4">
        <v>4</v>
      </c>
      <c r="G22" s="3" t="s">
        <v>130</v>
      </c>
      <c r="H22">
        <v>8</v>
      </c>
    </row>
    <row r="23" spans="1:8" x14ac:dyDescent="0.3">
      <c r="A23" s="3" t="s">
        <v>169</v>
      </c>
      <c r="B23" s="4">
        <v>5</v>
      </c>
      <c r="G23" s="3" t="s">
        <v>363</v>
      </c>
      <c r="H23">
        <v>60</v>
      </c>
    </row>
    <row r="24" spans="1:8" x14ac:dyDescent="0.3">
      <c r="A24" s="3" t="s">
        <v>378</v>
      </c>
      <c r="B24" s="4">
        <v>0</v>
      </c>
    </row>
    <row r="25" spans="1:8" x14ac:dyDescent="0.3">
      <c r="A25" s="3" t="s">
        <v>363</v>
      </c>
      <c r="B25" s="4">
        <v>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7DFD4-D21B-4283-A6CF-B79DDD81A55B}">
  <dimension ref="A3:J111"/>
  <sheetViews>
    <sheetView zoomScale="63" workbookViewId="0">
      <selection activeCell="H40" sqref="H40"/>
    </sheetView>
  </sheetViews>
  <sheetFormatPr defaultRowHeight="14.4" x14ac:dyDescent="0.3"/>
  <cols>
    <col min="1" max="1" width="19.6640625" bestFit="1" customWidth="1"/>
    <col min="2" max="2" width="11.44140625" bestFit="1" customWidth="1"/>
    <col min="3" max="3" width="14.88671875" bestFit="1" customWidth="1"/>
    <col min="4" max="4" width="14" bestFit="1" customWidth="1"/>
    <col min="5" max="5" width="21.109375" bestFit="1" customWidth="1"/>
    <col min="6" max="6" width="19" bestFit="1" customWidth="1"/>
    <col min="7" max="7" width="18.33203125" bestFit="1" customWidth="1"/>
    <col min="8" max="8" width="18.88671875" bestFit="1" customWidth="1"/>
    <col min="9" max="9" width="19.6640625" bestFit="1" customWidth="1"/>
    <col min="10" max="10" width="11.44140625" bestFit="1" customWidth="1"/>
    <col min="11" max="11" width="15.109375" bestFit="1" customWidth="1"/>
    <col min="12" max="12" width="13.44140625" bestFit="1" customWidth="1"/>
    <col min="13" max="13" width="13.88671875" bestFit="1" customWidth="1"/>
    <col min="14" max="14" width="19.5546875" bestFit="1" customWidth="1"/>
  </cols>
  <sheetData>
    <row r="3" spans="1:10" x14ac:dyDescent="0.3">
      <c r="A3" s="2" t="s">
        <v>377</v>
      </c>
      <c r="B3" t="s">
        <v>368</v>
      </c>
      <c r="C3" t="s">
        <v>379</v>
      </c>
      <c r="D3" t="s">
        <v>380</v>
      </c>
      <c r="E3" t="s">
        <v>370</v>
      </c>
      <c r="F3" t="s">
        <v>371</v>
      </c>
      <c r="I3" s="2" t="s">
        <v>377</v>
      </c>
      <c r="J3" t="s">
        <v>368</v>
      </c>
    </row>
    <row r="4" spans="1:10" x14ac:dyDescent="0.3">
      <c r="A4" s="3" t="s">
        <v>112</v>
      </c>
      <c r="B4">
        <v>440</v>
      </c>
      <c r="C4">
        <v>0</v>
      </c>
      <c r="D4">
        <v>0</v>
      </c>
      <c r="E4" s="5">
        <v>162.60714285714286</v>
      </c>
      <c r="F4" s="5">
        <v>0</v>
      </c>
      <c r="I4" s="3" t="s">
        <v>112</v>
      </c>
      <c r="J4">
        <v>440</v>
      </c>
    </row>
    <row r="5" spans="1:10" x14ac:dyDescent="0.3">
      <c r="A5" s="3" t="s">
        <v>64</v>
      </c>
      <c r="B5">
        <v>368</v>
      </c>
      <c r="C5">
        <v>216</v>
      </c>
      <c r="D5">
        <v>11</v>
      </c>
      <c r="E5" s="5">
        <v>187.42142857142858</v>
      </c>
      <c r="F5" s="5">
        <v>7.7142857142857144</v>
      </c>
      <c r="I5" s="3" t="s">
        <v>64</v>
      </c>
      <c r="J5">
        <v>368</v>
      </c>
    </row>
    <row r="6" spans="1:10" x14ac:dyDescent="0.3">
      <c r="A6" s="3" t="s">
        <v>102</v>
      </c>
      <c r="B6">
        <v>0</v>
      </c>
      <c r="C6">
        <v>232</v>
      </c>
      <c r="D6">
        <v>19</v>
      </c>
      <c r="E6" s="5">
        <v>0</v>
      </c>
      <c r="F6" s="5">
        <v>7.25</v>
      </c>
      <c r="I6" s="3" t="s">
        <v>102</v>
      </c>
      <c r="J6">
        <v>0</v>
      </c>
    </row>
    <row r="7" spans="1:10" x14ac:dyDescent="0.3">
      <c r="A7" s="3" t="s">
        <v>82</v>
      </c>
      <c r="B7">
        <v>0</v>
      </c>
      <c r="C7">
        <v>120</v>
      </c>
      <c r="D7">
        <v>9</v>
      </c>
      <c r="E7" s="5">
        <v>0</v>
      </c>
      <c r="F7" s="5">
        <v>6</v>
      </c>
      <c r="I7" s="3" t="s">
        <v>82</v>
      </c>
      <c r="J7">
        <v>0</v>
      </c>
    </row>
    <row r="8" spans="1:10" x14ac:dyDescent="0.3">
      <c r="A8" s="3" t="s">
        <v>116</v>
      </c>
      <c r="B8">
        <v>0</v>
      </c>
      <c r="C8">
        <v>130</v>
      </c>
      <c r="D8">
        <v>6</v>
      </c>
      <c r="E8" s="5">
        <v>0</v>
      </c>
      <c r="F8" s="5">
        <v>8.125</v>
      </c>
      <c r="I8" s="3" t="s">
        <v>116</v>
      </c>
      <c r="J8">
        <v>0</v>
      </c>
    </row>
    <row r="9" spans="1:10" x14ac:dyDescent="0.3">
      <c r="A9" s="3" t="s">
        <v>42</v>
      </c>
      <c r="B9">
        <v>261</v>
      </c>
      <c r="C9">
        <v>0</v>
      </c>
      <c r="D9">
        <v>0</v>
      </c>
      <c r="E9" s="5">
        <v>151.69499999999999</v>
      </c>
      <c r="F9" s="5">
        <v>0</v>
      </c>
      <c r="I9" s="3" t="s">
        <v>42</v>
      </c>
      <c r="J9">
        <v>261</v>
      </c>
    </row>
    <row r="10" spans="1:10" x14ac:dyDescent="0.3">
      <c r="A10" s="3" t="s">
        <v>72</v>
      </c>
      <c r="B10">
        <v>300</v>
      </c>
      <c r="C10">
        <v>0</v>
      </c>
      <c r="D10">
        <v>0</v>
      </c>
      <c r="E10" s="5">
        <v>142.10166666666666</v>
      </c>
      <c r="F10" s="5">
        <v>0</v>
      </c>
      <c r="I10" s="3" t="s">
        <v>72</v>
      </c>
      <c r="J10">
        <v>300</v>
      </c>
    </row>
    <row r="11" spans="1:10" x14ac:dyDescent="0.3">
      <c r="A11" s="3" t="s">
        <v>38</v>
      </c>
      <c r="B11">
        <v>0</v>
      </c>
      <c r="C11">
        <v>188</v>
      </c>
      <c r="D11">
        <v>17</v>
      </c>
      <c r="E11" s="5">
        <v>0</v>
      </c>
      <c r="F11" s="5">
        <v>6.7142857142857144</v>
      </c>
      <c r="I11" s="3" t="s">
        <v>38</v>
      </c>
      <c r="J11">
        <v>0</v>
      </c>
    </row>
    <row r="12" spans="1:10" x14ac:dyDescent="0.3">
      <c r="A12" s="3" t="s">
        <v>57</v>
      </c>
      <c r="B12">
        <v>42</v>
      </c>
      <c r="C12">
        <v>0</v>
      </c>
      <c r="D12">
        <v>0</v>
      </c>
      <c r="E12" s="5">
        <v>200</v>
      </c>
      <c r="F12" s="5">
        <v>0</v>
      </c>
      <c r="I12" s="3" t="s">
        <v>57</v>
      </c>
      <c r="J12">
        <v>42</v>
      </c>
    </row>
    <row r="13" spans="1:10" x14ac:dyDescent="0.3">
      <c r="A13" s="3" t="s">
        <v>54</v>
      </c>
      <c r="B13">
        <v>151</v>
      </c>
      <c r="C13">
        <v>28</v>
      </c>
      <c r="D13">
        <v>2</v>
      </c>
      <c r="E13" s="5">
        <v>133.75</v>
      </c>
      <c r="F13" s="5">
        <v>1.75</v>
      </c>
      <c r="I13" s="3" t="s">
        <v>54</v>
      </c>
      <c r="J13">
        <v>151</v>
      </c>
    </row>
    <row r="14" spans="1:10" x14ac:dyDescent="0.3">
      <c r="A14" s="3" t="s">
        <v>32</v>
      </c>
      <c r="B14">
        <v>180</v>
      </c>
      <c r="C14">
        <v>125</v>
      </c>
      <c r="D14">
        <v>6</v>
      </c>
      <c r="E14" s="5">
        <v>151.11199999999999</v>
      </c>
      <c r="F14" s="5">
        <v>6.25</v>
      </c>
      <c r="I14" s="3" t="s">
        <v>32</v>
      </c>
      <c r="J14">
        <v>180</v>
      </c>
    </row>
    <row r="15" spans="1:10" x14ac:dyDescent="0.3">
      <c r="A15" s="3" t="s">
        <v>118</v>
      </c>
      <c r="B15">
        <v>482</v>
      </c>
      <c r="C15">
        <v>0</v>
      </c>
      <c r="D15">
        <v>0</v>
      </c>
      <c r="E15" s="5">
        <v>190.61714285714285</v>
      </c>
      <c r="F15" s="5">
        <v>0</v>
      </c>
      <c r="I15" s="3" t="s">
        <v>118</v>
      </c>
      <c r="J15">
        <v>482</v>
      </c>
    </row>
    <row r="16" spans="1:10" x14ac:dyDescent="0.3">
      <c r="A16" s="3" t="s">
        <v>22</v>
      </c>
      <c r="B16">
        <v>278</v>
      </c>
      <c r="C16">
        <v>0</v>
      </c>
      <c r="D16">
        <v>0</v>
      </c>
      <c r="E16" s="5">
        <v>136.82500000000002</v>
      </c>
      <c r="F16" s="5">
        <v>0</v>
      </c>
      <c r="I16" s="3" t="s">
        <v>22</v>
      </c>
      <c r="J16">
        <v>278</v>
      </c>
    </row>
    <row r="17" spans="1:10" x14ac:dyDescent="0.3">
      <c r="A17" s="3" t="s">
        <v>17</v>
      </c>
      <c r="B17">
        <v>0</v>
      </c>
      <c r="C17">
        <v>267</v>
      </c>
      <c r="D17">
        <v>25</v>
      </c>
      <c r="E17" s="5">
        <v>0</v>
      </c>
      <c r="F17" s="5">
        <v>6.9249999999999998</v>
      </c>
      <c r="I17" s="3" t="s">
        <v>17</v>
      </c>
      <c r="J17">
        <v>0</v>
      </c>
    </row>
    <row r="18" spans="1:10" x14ac:dyDescent="0.3">
      <c r="A18" s="3" t="s">
        <v>106</v>
      </c>
      <c r="B18">
        <v>82</v>
      </c>
      <c r="C18">
        <v>0</v>
      </c>
      <c r="D18">
        <v>0</v>
      </c>
      <c r="E18" s="5">
        <v>126.19</v>
      </c>
      <c r="F18" s="5">
        <v>0</v>
      </c>
      <c r="I18" s="3" t="s">
        <v>106</v>
      </c>
      <c r="J18">
        <v>82</v>
      </c>
    </row>
    <row r="19" spans="1:10" x14ac:dyDescent="0.3">
      <c r="A19" s="3" t="s">
        <v>85</v>
      </c>
      <c r="B19">
        <v>597</v>
      </c>
      <c r="C19">
        <v>0</v>
      </c>
      <c r="D19">
        <v>0</v>
      </c>
      <c r="E19" s="5">
        <v>169.59625</v>
      </c>
      <c r="F19" s="5">
        <v>0</v>
      </c>
      <c r="I19" s="3" t="s">
        <v>85</v>
      </c>
      <c r="J19">
        <v>597</v>
      </c>
    </row>
    <row r="20" spans="1:10" x14ac:dyDescent="0.3">
      <c r="A20" s="3" t="s">
        <v>108</v>
      </c>
      <c r="B20">
        <v>0</v>
      </c>
      <c r="C20">
        <v>162</v>
      </c>
      <c r="D20">
        <v>6</v>
      </c>
      <c r="E20" s="5">
        <v>0</v>
      </c>
      <c r="F20" s="5">
        <v>8.1</v>
      </c>
      <c r="I20" s="3" t="s">
        <v>108</v>
      </c>
      <c r="J20">
        <v>0</v>
      </c>
    </row>
    <row r="21" spans="1:10" x14ac:dyDescent="0.3">
      <c r="A21" s="3" t="s">
        <v>76</v>
      </c>
      <c r="B21">
        <v>0</v>
      </c>
      <c r="C21">
        <v>92</v>
      </c>
      <c r="D21">
        <v>10</v>
      </c>
      <c r="E21" s="5">
        <v>0</v>
      </c>
      <c r="F21" s="5">
        <v>4.5999999999999996</v>
      </c>
      <c r="I21" s="3" t="s">
        <v>76</v>
      </c>
      <c r="J21">
        <v>0</v>
      </c>
    </row>
    <row r="22" spans="1:10" x14ac:dyDescent="0.3">
      <c r="A22" s="3" t="s">
        <v>99</v>
      </c>
      <c r="B22">
        <v>345</v>
      </c>
      <c r="C22">
        <v>0</v>
      </c>
      <c r="D22">
        <v>0</v>
      </c>
      <c r="E22" s="5">
        <v>154.78333333333333</v>
      </c>
      <c r="F22" s="5">
        <v>0</v>
      </c>
      <c r="I22" s="3" t="s">
        <v>99</v>
      </c>
      <c r="J22">
        <v>345</v>
      </c>
    </row>
    <row r="23" spans="1:10" x14ac:dyDescent="0.3">
      <c r="A23" s="3" t="s">
        <v>45</v>
      </c>
      <c r="B23">
        <v>0</v>
      </c>
      <c r="C23">
        <v>21</v>
      </c>
      <c r="D23">
        <v>3</v>
      </c>
      <c r="E23" s="5">
        <v>0</v>
      </c>
      <c r="F23" s="5">
        <v>5.25</v>
      </c>
      <c r="I23" s="3" t="s">
        <v>45</v>
      </c>
      <c r="J23">
        <v>0</v>
      </c>
    </row>
    <row r="24" spans="1:10" x14ac:dyDescent="0.3">
      <c r="A24" s="3" t="s">
        <v>80</v>
      </c>
      <c r="B24">
        <v>210</v>
      </c>
      <c r="C24">
        <v>80</v>
      </c>
      <c r="D24">
        <v>2</v>
      </c>
      <c r="E24" s="5">
        <v>111.90499999999999</v>
      </c>
      <c r="F24" s="5">
        <v>3.3333333333333335</v>
      </c>
      <c r="I24" s="3" t="s">
        <v>80</v>
      </c>
      <c r="J24">
        <v>210</v>
      </c>
    </row>
    <row r="25" spans="1:10" x14ac:dyDescent="0.3">
      <c r="A25" s="3" t="s">
        <v>52</v>
      </c>
      <c r="B25">
        <v>25</v>
      </c>
      <c r="C25">
        <v>165</v>
      </c>
      <c r="D25">
        <v>9</v>
      </c>
      <c r="E25" s="5">
        <v>27.777999999999999</v>
      </c>
      <c r="F25" s="5">
        <v>8.25</v>
      </c>
      <c r="I25" s="3" t="s">
        <v>52</v>
      </c>
      <c r="J25">
        <v>25</v>
      </c>
    </row>
    <row r="26" spans="1:10" x14ac:dyDescent="0.3">
      <c r="A26" s="3" t="s">
        <v>60</v>
      </c>
      <c r="B26">
        <v>382</v>
      </c>
      <c r="C26">
        <v>0</v>
      </c>
      <c r="D26">
        <v>0</v>
      </c>
      <c r="E26" s="5">
        <v>149.97</v>
      </c>
      <c r="F26" s="5">
        <v>0</v>
      </c>
      <c r="I26" s="3" t="s">
        <v>60</v>
      </c>
      <c r="J26">
        <v>382</v>
      </c>
    </row>
    <row r="27" spans="1:10" x14ac:dyDescent="0.3">
      <c r="A27" s="3" t="s">
        <v>35</v>
      </c>
      <c r="B27">
        <v>491</v>
      </c>
      <c r="C27">
        <v>0</v>
      </c>
      <c r="D27">
        <v>0</v>
      </c>
      <c r="E27" s="5">
        <v>172.92124999999999</v>
      </c>
      <c r="F27" s="5">
        <v>0</v>
      </c>
      <c r="I27" s="3" t="s">
        <v>35</v>
      </c>
      <c r="J27">
        <v>491</v>
      </c>
    </row>
    <row r="28" spans="1:10" x14ac:dyDescent="0.3">
      <c r="A28" s="3" t="s">
        <v>67</v>
      </c>
      <c r="B28">
        <v>171</v>
      </c>
      <c r="C28">
        <v>202</v>
      </c>
      <c r="D28">
        <v>16</v>
      </c>
      <c r="E28" s="5">
        <v>172.08375000000001</v>
      </c>
      <c r="F28" s="5">
        <v>6.3125</v>
      </c>
      <c r="I28" s="3" t="s">
        <v>67</v>
      </c>
      <c r="J28">
        <v>171</v>
      </c>
    </row>
    <row r="29" spans="1:10" x14ac:dyDescent="0.3">
      <c r="A29" s="3" t="s">
        <v>9</v>
      </c>
      <c r="B29">
        <v>386</v>
      </c>
      <c r="C29">
        <v>0</v>
      </c>
      <c r="D29">
        <v>0</v>
      </c>
      <c r="E29" s="5">
        <v>170.27799999999999</v>
      </c>
      <c r="F29" s="5">
        <v>0</v>
      </c>
      <c r="I29" s="3" t="s">
        <v>9</v>
      </c>
      <c r="J29">
        <v>386</v>
      </c>
    </row>
    <row r="30" spans="1:10" x14ac:dyDescent="0.3">
      <c r="A30" s="3" t="s">
        <v>28</v>
      </c>
      <c r="B30">
        <v>132</v>
      </c>
      <c r="C30">
        <v>0</v>
      </c>
      <c r="D30">
        <v>0</v>
      </c>
      <c r="E30" s="5">
        <v>151.29666666666665</v>
      </c>
      <c r="F30" s="5">
        <v>0</v>
      </c>
      <c r="I30" s="3" t="s">
        <v>28</v>
      </c>
      <c r="J30">
        <v>132</v>
      </c>
    </row>
    <row r="31" spans="1:10" x14ac:dyDescent="0.3">
      <c r="A31" s="3" t="s">
        <v>120</v>
      </c>
      <c r="B31">
        <v>550</v>
      </c>
      <c r="C31">
        <v>0</v>
      </c>
      <c r="D31">
        <v>0</v>
      </c>
      <c r="E31" s="5">
        <v>160.08500000000001</v>
      </c>
      <c r="F31" s="5">
        <v>0</v>
      </c>
      <c r="I31" s="3" t="s">
        <v>120</v>
      </c>
      <c r="J31">
        <v>550</v>
      </c>
    </row>
    <row r="32" spans="1:10" x14ac:dyDescent="0.3">
      <c r="A32" s="3" t="s">
        <v>92</v>
      </c>
      <c r="B32">
        <v>0</v>
      </c>
      <c r="C32">
        <v>114</v>
      </c>
      <c r="D32">
        <v>13</v>
      </c>
      <c r="E32" s="5">
        <v>0</v>
      </c>
      <c r="F32" s="5">
        <v>5.85</v>
      </c>
      <c r="I32" s="3" t="s">
        <v>92</v>
      </c>
      <c r="J32">
        <v>0</v>
      </c>
    </row>
    <row r="33" spans="1:10" x14ac:dyDescent="0.3">
      <c r="A33" s="3" t="s">
        <v>69</v>
      </c>
      <c r="B33">
        <v>0</v>
      </c>
      <c r="C33">
        <v>113</v>
      </c>
      <c r="D33">
        <v>15</v>
      </c>
      <c r="E33" s="5">
        <v>0</v>
      </c>
      <c r="F33" s="5">
        <v>5.9219999999999997</v>
      </c>
      <c r="I33" s="3" t="s">
        <v>69</v>
      </c>
      <c r="J33">
        <v>0</v>
      </c>
    </row>
    <row r="34" spans="1:10" x14ac:dyDescent="0.3">
      <c r="A34" s="3" t="s">
        <v>48</v>
      </c>
      <c r="B34">
        <v>982</v>
      </c>
      <c r="C34">
        <v>0</v>
      </c>
      <c r="D34">
        <v>0</v>
      </c>
      <c r="E34" s="5">
        <v>150.65600000000001</v>
      </c>
      <c r="F34" s="5">
        <v>0</v>
      </c>
      <c r="I34" s="3" t="s">
        <v>48</v>
      </c>
      <c r="J34">
        <v>982</v>
      </c>
    </row>
    <row r="35" spans="1:10" x14ac:dyDescent="0.3">
      <c r="A35" s="3" t="s">
        <v>96</v>
      </c>
      <c r="B35">
        <v>608</v>
      </c>
      <c r="C35">
        <v>0</v>
      </c>
      <c r="D35">
        <v>0</v>
      </c>
      <c r="E35" s="5">
        <v>159.51888888888891</v>
      </c>
      <c r="F35" s="5">
        <v>0</v>
      </c>
      <c r="I35" s="3" t="s">
        <v>96</v>
      </c>
      <c r="J35">
        <v>608</v>
      </c>
    </row>
    <row r="36" spans="1:10" x14ac:dyDescent="0.3">
      <c r="A36" s="3" t="s">
        <v>90</v>
      </c>
      <c r="B36">
        <v>0</v>
      </c>
      <c r="C36">
        <v>180</v>
      </c>
      <c r="D36">
        <v>9</v>
      </c>
      <c r="E36" s="5">
        <v>0</v>
      </c>
      <c r="F36" s="5">
        <v>7.5</v>
      </c>
      <c r="I36" s="3" t="s">
        <v>90</v>
      </c>
      <c r="J36">
        <v>0</v>
      </c>
    </row>
    <row r="37" spans="1:10" x14ac:dyDescent="0.3">
      <c r="A37" s="3" t="s">
        <v>363</v>
      </c>
      <c r="B37">
        <v>7463</v>
      </c>
      <c r="C37">
        <v>2435</v>
      </c>
      <c r="D37">
        <v>178</v>
      </c>
      <c r="E37" s="5">
        <v>106.70771144278606</v>
      </c>
      <c r="F37" s="5">
        <v>3.0515422885572141</v>
      </c>
      <c r="I37" s="3" t="s">
        <v>363</v>
      </c>
      <c r="J37">
        <v>7463</v>
      </c>
    </row>
    <row r="40" spans="1:10" x14ac:dyDescent="0.3">
      <c r="A40" s="2" t="s">
        <v>377</v>
      </c>
      <c r="B40" t="s">
        <v>369</v>
      </c>
      <c r="D40" s="2" t="s">
        <v>377</v>
      </c>
      <c r="E40" t="s">
        <v>370</v>
      </c>
    </row>
    <row r="41" spans="1:10" x14ac:dyDescent="0.3">
      <c r="A41" s="3" t="s">
        <v>112</v>
      </c>
      <c r="B41">
        <v>0</v>
      </c>
      <c r="D41" s="3" t="s">
        <v>112</v>
      </c>
      <c r="E41" s="5">
        <v>162.60714285714286</v>
      </c>
    </row>
    <row r="42" spans="1:10" x14ac:dyDescent="0.3">
      <c r="A42" s="3" t="s">
        <v>64</v>
      </c>
      <c r="B42">
        <v>11</v>
      </c>
      <c r="D42" s="3" t="s">
        <v>64</v>
      </c>
      <c r="E42" s="5">
        <v>187.42142857142858</v>
      </c>
    </row>
    <row r="43" spans="1:10" x14ac:dyDescent="0.3">
      <c r="A43" s="3" t="s">
        <v>102</v>
      </c>
      <c r="B43">
        <v>19</v>
      </c>
      <c r="D43" s="3" t="s">
        <v>102</v>
      </c>
      <c r="E43" s="5">
        <v>0</v>
      </c>
    </row>
    <row r="44" spans="1:10" x14ac:dyDescent="0.3">
      <c r="A44" s="3" t="s">
        <v>82</v>
      </c>
      <c r="B44">
        <v>9</v>
      </c>
      <c r="D44" s="3" t="s">
        <v>82</v>
      </c>
      <c r="E44" s="5">
        <v>0</v>
      </c>
    </row>
    <row r="45" spans="1:10" x14ac:dyDescent="0.3">
      <c r="A45" s="3" t="s">
        <v>116</v>
      </c>
      <c r="B45">
        <v>6</v>
      </c>
      <c r="D45" s="3" t="s">
        <v>116</v>
      </c>
      <c r="E45" s="5">
        <v>0</v>
      </c>
    </row>
    <row r="46" spans="1:10" x14ac:dyDescent="0.3">
      <c r="A46" s="3" t="s">
        <v>42</v>
      </c>
      <c r="B46">
        <v>0</v>
      </c>
      <c r="D46" s="3" t="s">
        <v>42</v>
      </c>
      <c r="E46" s="5">
        <v>151.69499999999999</v>
      </c>
    </row>
    <row r="47" spans="1:10" x14ac:dyDescent="0.3">
      <c r="A47" s="3" t="s">
        <v>72</v>
      </c>
      <c r="B47">
        <v>0</v>
      </c>
      <c r="D47" s="3" t="s">
        <v>72</v>
      </c>
      <c r="E47" s="5">
        <v>142.10166666666666</v>
      </c>
    </row>
    <row r="48" spans="1:10" x14ac:dyDescent="0.3">
      <c r="A48" s="3" t="s">
        <v>38</v>
      </c>
      <c r="B48">
        <v>17</v>
      </c>
      <c r="D48" s="3" t="s">
        <v>38</v>
      </c>
      <c r="E48" s="5">
        <v>0</v>
      </c>
    </row>
    <row r="49" spans="1:5" x14ac:dyDescent="0.3">
      <c r="A49" s="3" t="s">
        <v>57</v>
      </c>
      <c r="B49">
        <v>0</v>
      </c>
      <c r="D49" s="3" t="s">
        <v>57</v>
      </c>
      <c r="E49" s="5">
        <v>200</v>
      </c>
    </row>
    <row r="50" spans="1:5" x14ac:dyDescent="0.3">
      <c r="A50" s="3" t="s">
        <v>54</v>
      </c>
      <c r="B50">
        <v>2</v>
      </c>
      <c r="D50" s="3" t="s">
        <v>54</v>
      </c>
      <c r="E50" s="5">
        <v>133.75</v>
      </c>
    </row>
    <row r="51" spans="1:5" x14ac:dyDescent="0.3">
      <c r="A51" s="3" t="s">
        <v>32</v>
      </c>
      <c r="B51">
        <v>6</v>
      </c>
      <c r="D51" s="3" t="s">
        <v>32</v>
      </c>
      <c r="E51" s="5">
        <v>151.11199999999999</v>
      </c>
    </row>
    <row r="52" spans="1:5" x14ac:dyDescent="0.3">
      <c r="A52" s="3" t="s">
        <v>118</v>
      </c>
      <c r="B52">
        <v>0</v>
      </c>
      <c r="D52" s="3" t="s">
        <v>118</v>
      </c>
      <c r="E52" s="5">
        <v>190.61714285714285</v>
      </c>
    </row>
    <row r="53" spans="1:5" x14ac:dyDescent="0.3">
      <c r="A53" s="3" t="s">
        <v>22</v>
      </c>
      <c r="B53">
        <v>0</v>
      </c>
      <c r="D53" s="3" t="s">
        <v>22</v>
      </c>
      <c r="E53" s="5">
        <v>136.82500000000002</v>
      </c>
    </row>
    <row r="54" spans="1:5" x14ac:dyDescent="0.3">
      <c r="A54" s="3" t="s">
        <v>17</v>
      </c>
      <c r="B54">
        <v>25</v>
      </c>
      <c r="D54" s="3" t="s">
        <v>17</v>
      </c>
      <c r="E54" s="5">
        <v>0</v>
      </c>
    </row>
    <row r="55" spans="1:5" x14ac:dyDescent="0.3">
      <c r="A55" s="3" t="s">
        <v>106</v>
      </c>
      <c r="B55">
        <v>0</v>
      </c>
      <c r="D55" s="3" t="s">
        <v>106</v>
      </c>
      <c r="E55" s="5">
        <v>126.19</v>
      </c>
    </row>
    <row r="56" spans="1:5" x14ac:dyDescent="0.3">
      <c r="A56" s="3" t="s">
        <v>85</v>
      </c>
      <c r="B56">
        <v>0</v>
      </c>
      <c r="D56" s="3" t="s">
        <v>85</v>
      </c>
      <c r="E56" s="5">
        <v>169.59625</v>
      </c>
    </row>
    <row r="57" spans="1:5" x14ac:dyDescent="0.3">
      <c r="A57" s="3" t="s">
        <v>108</v>
      </c>
      <c r="B57">
        <v>6</v>
      </c>
      <c r="D57" s="3" t="s">
        <v>108</v>
      </c>
      <c r="E57" s="5">
        <v>0</v>
      </c>
    </row>
    <row r="58" spans="1:5" x14ac:dyDescent="0.3">
      <c r="A58" s="3" t="s">
        <v>76</v>
      </c>
      <c r="B58">
        <v>10</v>
      </c>
      <c r="D58" s="3" t="s">
        <v>76</v>
      </c>
      <c r="E58" s="5">
        <v>0</v>
      </c>
    </row>
    <row r="59" spans="1:5" x14ac:dyDescent="0.3">
      <c r="A59" s="3" t="s">
        <v>99</v>
      </c>
      <c r="B59">
        <v>0</v>
      </c>
      <c r="D59" s="3" t="s">
        <v>99</v>
      </c>
      <c r="E59" s="5">
        <v>154.78333333333333</v>
      </c>
    </row>
    <row r="60" spans="1:5" x14ac:dyDescent="0.3">
      <c r="A60" s="3" t="s">
        <v>45</v>
      </c>
      <c r="B60">
        <v>3</v>
      </c>
      <c r="D60" s="3" t="s">
        <v>45</v>
      </c>
      <c r="E60" s="5">
        <v>0</v>
      </c>
    </row>
    <row r="61" spans="1:5" x14ac:dyDescent="0.3">
      <c r="A61" s="3" t="s">
        <v>80</v>
      </c>
      <c r="B61">
        <v>2</v>
      </c>
      <c r="D61" s="3" t="s">
        <v>80</v>
      </c>
      <c r="E61" s="5">
        <v>111.90499999999999</v>
      </c>
    </row>
    <row r="62" spans="1:5" x14ac:dyDescent="0.3">
      <c r="A62" s="3" t="s">
        <v>52</v>
      </c>
      <c r="B62">
        <v>9</v>
      </c>
      <c r="D62" s="3" t="s">
        <v>52</v>
      </c>
      <c r="E62" s="5">
        <v>27.777999999999999</v>
      </c>
    </row>
    <row r="63" spans="1:5" x14ac:dyDescent="0.3">
      <c r="A63" s="3" t="s">
        <v>60</v>
      </c>
      <c r="B63">
        <v>0</v>
      </c>
      <c r="D63" s="3" t="s">
        <v>60</v>
      </c>
      <c r="E63" s="5">
        <v>149.97</v>
      </c>
    </row>
    <row r="64" spans="1:5" x14ac:dyDescent="0.3">
      <c r="A64" s="3" t="s">
        <v>35</v>
      </c>
      <c r="B64">
        <v>0</v>
      </c>
      <c r="D64" s="3" t="s">
        <v>35</v>
      </c>
      <c r="E64" s="5">
        <v>172.92124999999999</v>
      </c>
    </row>
    <row r="65" spans="1:5" x14ac:dyDescent="0.3">
      <c r="A65" s="3" t="s">
        <v>67</v>
      </c>
      <c r="B65">
        <v>16</v>
      </c>
      <c r="D65" s="3" t="s">
        <v>67</v>
      </c>
      <c r="E65" s="5">
        <v>172.08375000000001</v>
      </c>
    </row>
    <row r="66" spans="1:5" x14ac:dyDescent="0.3">
      <c r="A66" s="3" t="s">
        <v>9</v>
      </c>
      <c r="B66">
        <v>0</v>
      </c>
      <c r="D66" s="3" t="s">
        <v>9</v>
      </c>
      <c r="E66" s="5">
        <v>170.27799999999999</v>
      </c>
    </row>
    <row r="67" spans="1:5" x14ac:dyDescent="0.3">
      <c r="A67" s="3" t="s">
        <v>28</v>
      </c>
      <c r="B67">
        <v>0</v>
      </c>
      <c r="D67" s="3" t="s">
        <v>28</v>
      </c>
      <c r="E67" s="5">
        <v>151.29666666666665</v>
      </c>
    </row>
    <row r="68" spans="1:5" x14ac:dyDescent="0.3">
      <c r="A68" s="3" t="s">
        <v>120</v>
      </c>
      <c r="B68">
        <v>0</v>
      </c>
      <c r="D68" s="3" t="s">
        <v>120</v>
      </c>
      <c r="E68" s="5">
        <v>160.08500000000001</v>
      </c>
    </row>
    <row r="69" spans="1:5" x14ac:dyDescent="0.3">
      <c r="A69" s="3" t="s">
        <v>92</v>
      </c>
      <c r="B69">
        <v>13</v>
      </c>
      <c r="D69" s="3" t="s">
        <v>92</v>
      </c>
      <c r="E69" s="5">
        <v>0</v>
      </c>
    </row>
    <row r="70" spans="1:5" x14ac:dyDescent="0.3">
      <c r="A70" s="3" t="s">
        <v>69</v>
      </c>
      <c r="B70">
        <v>15</v>
      </c>
      <c r="D70" s="3" t="s">
        <v>69</v>
      </c>
      <c r="E70" s="5">
        <v>0</v>
      </c>
    </row>
    <row r="71" spans="1:5" x14ac:dyDescent="0.3">
      <c r="A71" s="3" t="s">
        <v>48</v>
      </c>
      <c r="B71">
        <v>0</v>
      </c>
      <c r="D71" s="3" t="s">
        <v>48</v>
      </c>
      <c r="E71" s="5">
        <v>150.65600000000001</v>
      </c>
    </row>
    <row r="72" spans="1:5" x14ac:dyDescent="0.3">
      <c r="A72" s="3" t="s">
        <v>96</v>
      </c>
      <c r="B72">
        <v>0</v>
      </c>
      <c r="D72" s="3" t="s">
        <v>96</v>
      </c>
      <c r="E72" s="5">
        <v>159.51888888888891</v>
      </c>
    </row>
    <row r="73" spans="1:5" x14ac:dyDescent="0.3">
      <c r="A73" s="3" t="s">
        <v>90</v>
      </c>
      <c r="B73">
        <v>9</v>
      </c>
      <c r="D73" s="3" t="s">
        <v>90</v>
      </c>
      <c r="E73" s="5">
        <v>0</v>
      </c>
    </row>
    <row r="74" spans="1:5" x14ac:dyDescent="0.3">
      <c r="A74" s="3" t="s">
        <v>363</v>
      </c>
      <c r="B74">
        <v>178</v>
      </c>
      <c r="D74" s="3" t="s">
        <v>363</v>
      </c>
      <c r="E74" s="5">
        <v>106.70771144278606</v>
      </c>
    </row>
    <row r="77" spans="1:5" x14ac:dyDescent="0.3">
      <c r="A77" s="2" t="s">
        <v>377</v>
      </c>
      <c r="B77" t="s">
        <v>371</v>
      </c>
      <c r="E77" s="5"/>
    </row>
    <row r="78" spans="1:5" x14ac:dyDescent="0.3">
      <c r="A78" s="3" t="s">
        <v>112</v>
      </c>
      <c r="B78" s="5">
        <v>0</v>
      </c>
    </row>
    <row r="79" spans="1:5" x14ac:dyDescent="0.3">
      <c r="A79" s="3" t="s">
        <v>64</v>
      </c>
      <c r="B79" s="5">
        <v>7.7142857142857144</v>
      </c>
      <c r="E79" s="5"/>
    </row>
    <row r="80" spans="1:5" x14ac:dyDescent="0.3">
      <c r="A80" s="3" t="s">
        <v>102</v>
      </c>
      <c r="B80" s="5">
        <v>7.25</v>
      </c>
    </row>
    <row r="81" spans="1:2" x14ac:dyDescent="0.3">
      <c r="A81" s="3" t="s">
        <v>82</v>
      </c>
      <c r="B81" s="5">
        <v>6</v>
      </c>
    </row>
    <row r="82" spans="1:2" x14ac:dyDescent="0.3">
      <c r="A82" s="3" t="s">
        <v>116</v>
      </c>
      <c r="B82" s="5">
        <v>8.125</v>
      </c>
    </row>
    <row r="83" spans="1:2" x14ac:dyDescent="0.3">
      <c r="A83" s="3" t="s">
        <v>42</v>
      </c>
      <c r="B83" s="5">
        <v>0</v>
      </c>
    </row>
    <row r="84" spans="1:2" x14ac:dyDescent="0.3">
      <c r="A84" s="3" t="s">
        <v>72</v>
      </c>
      <c r="B84" s="5">
        <v>0</v>
      </c>
    </row>
    <row r="85" spans="1:2" x14ac:dyDescent="0.3">
      <c r="A85" s="3" t="s">
        <v>38</v>
      </c>
      <c r="B85" s="5">
        <v>6.7142857142857144</v>
      </c>
    </row>
    <row r="86" spans="1:2" x14ac:dyDescent="0.3">
      <c r="A86" s="3" t="s">
        <v>57</v>
      </c>
      <c r="B86" s="5">
        <v>0</v>
      </c>
    </row>
    <row r="87" spans="1:2" x14ac:dyDescent="0.3">
      <c r="A87" s="3" t="s">
        <v>54</v>
      </c>
      <c r="B87" s="5">
        <v>1.75</v>
      </c>
    </row>
    <row r="88" spans="1:2" x14ac:dyDescent="0.3">
      <c r="A88" s="3" t="s">
        <v>32</v>
      </c>
      <c r="B88" s="5">
        <v>6.25</v>
      </c>
    </row>
    <row r="89" spans="1:2" x14ac:dyDescent="0.3">
      <c r="A89" s="3" t="s">
        <v>118</v>
      </c>
      <c r="B89" s="5">
        <v>0</v>
      </c>
    </row>
    <row r="90" spans="1:2" x14ac:dyDescent="0.3">
      <c r="A90" s="3" t="s">
        <v>22</v>
      </c>
      <c r="B90" s="5">
        <v>0</v>
      </c>
    </row>
    <row r="91" spans="1:2" x14ac:dyDescent="0.3">
      <c r="A91" s="3" t="s">
        <v>17</v>
      </c>
      <c r="B91" s="5">
        <v>6.9249999999999998</v>
      </c>
    </row>
    <row r="92" spans="1:2" x14ac:dyDescent="0.3">
      <c r="A92" s="3" t="s">
        <v>106</v>
      </c>
      <c r="B92" s="5">
        <v>0</v>
      </c>
    </row>
    <row r="93" spans="1:2" x14ac:dyDescent="0.3">
      <c r="A93" s="3" t="s">
        <v>85</v>
      </c>
      <c r="B93" s="5">
        <v>0</v>
      </c>
    </row>
    <row r="94" spans="1:2" x14ac:dyDescent="0.3">
      <c r="A94" s="3" t="s">
        <v>108</v>
      </c>
      <c r="B94" s="5">
        <v>8.1</v>
      </c>
    </row>
    <row r="95" spans="1:2" x14ac:dyDescent="0.3">
      <c r="A95" s="3" t="s">
        <v>76</v>
      </c>
      <c r="B95" s="5">
        <v>4.5999999999999996</v>
      </c>
    </row>
    <row r="96" spans="1:2" x14ac:dyDescent="0.3">
      <c r="A96" s="3" t="s">
        <v>99</v>
      </c>
      <c r="B96" s="5">
        <v>0</v>
      </c>
    </row>
    <row r="97" spans="1:2" x14ac:dyDescent="0.3">
      <c r="A97" s="3" t="s">
        <v>45</v>
      </c>
      <c r="B97" s="5">
        <v>5.25</v>
      </c>
    </row>
    <row r="98" spans="1:2" x14ac:dyDescent="0.3">
      <c r="A98" s="3" t="s">
        <v>80</v>
      </c>
      <c r="B98" s="5">
        <v>3.3333333333333335</v>
      </c>
    </row>
    <row r="99" spans="1:2" x14ac:dyDescent="0.3">
      <c r="A99" s="3" t="s">
        <v>52</v>
      </c>
      <c r="B99" s="5">
        <v>8.25</v>
      </c>
    </row>
    <row r="100" spans="1:2" x14ac:dyDescent="0.3">
      <c r="A100" s="3" t="s">
        <v>60</v>
      </c>
      <c r="B100" s="5">
        <v>0</v>
      </c>
    </row>
    <row r="101" spans="1:2" x14ac:dyDescent="0.3">
      <c r="A101" s="3" t="s">
        <v>35</v>
      </c>
      <c r="B101" s="5">
        <v>0</v>
      </c>
    </row>
    <row r="102" spans="1:2" x14ac:dyDescent="0.3">
      <c r="A102" s="3" t="s">
        <v>67</v>
      </c>
      <c r="B102" s="5">
        <v>6.3125</v>
      </c>
    </row>
    <row r="103" spans="1:2" x14ac:dyDescent="0.3">
      <c r="A103" s="3" t="s">
        <v>9</v>
      </c>
      <c r="B103" s="5">
        <v>0</v>
      </c>
    </row>
    <row r="104" spans="1:2" x14ac:dyDescent="0.3">
      <c r="A104" s="3" t="s">
        <v>28</v>
      </c>
      <c r="B104" s="5">
        <v>0</v>
      </c>
    </row>
    <row r="105" spans="1:2" x14ac:dyDescent="0.3">
      <c r="A105" s="3" t="s">
        <v>120</v>
      </c>
      <c r="B105" s="5">
        <v>0</v>
      </c>
    </row>
    <row r="106" spans="1:2" x14ac:dyDescent="0.3">
      <c r="A106" s="3" t="s">
        <v>92</v>
      </c>
      <c r="B106" s="5">
        <v>5.85</v>
      </c>
    </row>
    <row r="107" spans="1:2" x14ac:dyDescent="0.3">
      <c r="A107" s="3" t="s">
        <v>69</v>
      </c>
      <c r="B107" s="5">
        <v>5.9219999999999997</v>
      </c>
    </row>
    <row r="108" spans="1:2" x14ac:dyDescent="0.3">
      <c r="A108" s="3" t="s">
        <v>48</v>
      </c>
      <c r="B108" s="5">
        <v>0</v>
      </c>
    </row>
    <row r="109" spans="1:2" x14ac:dyDescent="0.3">
      <c r="A109" s="3" t="s">
        <v>96</v>
      </c>
      <c r="B109" s="5">
        <v>0</v>
      </c>
    </row>
    <row r="110" spans="1:2" x14ac:dyDescent="0.3">
      <c r="A110" s="3" t="s">
        <v>90</v>
      </c>
      <c r="B110" s="5">
        <v>7.5</v>
      </c>
    </row>
    <row r="111" spans="1:2" x14ac:dyDescent="0.3">
      <c r="A111" s="3" t="s">
        <v>363</v>
      </c>
      <c r="B111" s="5">
        <v>3.0515422885572141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B90D-9DEE-4E09-9095-71349797FF4B}">
  <dimension ref="G3:R6"/>
  <sheetViews>
    <sheetView showGridLines="0" zoomScale="66" workbookViewId="0">
      <selection activeCell="AA130" sqref="AA130"/>
    </sheetView>
  </sheetViews>
  <sheetFormatPr defaultRowHeight="14.4" x14ac:dyDescent="0.3"/>
  <cols>
    <col min="1" max="16384" width="8.88671875" style="7"/>
  </cols>
  <sheetData>
    <row r="3" spans="7:18" ht="14.4" customHeight="1" x14ac:dyDescent="0.3">
      <c r="G3" s="8">
        <f>GETPIVOTDATA("[Measures].[Count of Match_ID]",'Team Summary'!$A$3)</f>
        <v>60</v>
      </c>
      <c r="H3" s="8"/>
      <c r="I3" s="8"/>
      <c r="L3" s="9">
        <f>GETPIVOTDATA("[Measures].[Total Runs]",'Team Summary'!$G$3)</f>
        <v>20944</v>
      </c>
      <c r="M3" s="9"/>
      <c r="N3" s="9"/>
      <c r="P3" s="10">
        <f>GETPIVOTDATA("[Measures].[Total_Wickets]",'Team Summary'!$A$3)</f>
        <v>799</v>
      </c>
      <c r="Q3" s="10"/>
      <c r="R3" s="10"/>
    </row>
    <row r="4" spans="7:18" ht="14.4" customHeight="1" x14ac:dyDescent="0.3">
      <c r="G4" s="8"/>
      <c r="H4" s="8"/>
      <c r="I4" s="8"/>
      <c r="L4" s="9"/>
      <c r="M4" s="9"/>
      <c r="N4" s="9"/>
      <c r="P4" s="10"/>
      <c r="Q4" s="10"/>
      <c r="R4" s="10"/>
    </row>
    <row r="5" spans="7:18" ht="14.4" customHeight="1" x14ac:dyDescent="0.3">
      <c r="G5" s="8"/>
      <c r="H5" s="8"/>
      <c r="I5" s="8"/>
      <c r="L5" s="9"/>
      <c r="M5" s="9"/>
      <c r="N5" s="9"/>
      <c r="P5" s="10"/>
      <c r="Q5" s="10"/>
      <c r="R5" s="10"/>
    </row>
    <row r="6" spans="7:18" ht="14.4" customHeight="1" x14ac:dyDescent="0.3">
      <c r="G6" s="8"/>
      <c r="H6" s="8"/>
      <c r="I6" s="8"/>
      <c r="L6" s="9"/>
      <c r="M6" s="9"/>
      <c r="N6" s="9"/>
      <c r="P6" s="10"/>
      <c r="Q6" s="10"/>
      <c r="R6" s="10"/>
    </row>
  </sheetData>
  <mergeCells count="3">
    <mergeCell ref="G3:I6"/>
    <mergeCell ref="L3:N6"/>
    <mergeCell ref="P3: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54981-03BC-4312-8DAB-BE7A12C5120D}">
  <dimension ref="L6:V12"/>
  <sheetViews>
    <sheetView showGridLines="0" tabSelected="1" topLeftCell="D1" zoomScale="72" zoomScaleNormal="70" workbookViewId="0">
      <selection activeCell="AE110" sqref="AE110"/>
    </sheetView>
  </sheetViews>
  <sheetFormatPr defaultRowHeight="14.4" x14ac:dyDescent="0.3"/>
  <cols>
    <col min="1" max="16384" width="8.88671875" style="6"/>
  </cols>
  <sheetData>
    <row r="6" spans="12:22" x14ac:dyDescent="0.3">
      <c r="L6" s="11">
        <f>GETPIVOTDATA("[Measures].[Average of Strike_Rate]",'Player Sumary'!$D$40)</f>
        <v>106.70771144278606</v>
      </c>
      <c r="M6" s="11"/>
      <c r="N6" s="11"/>
      <c r="O6" s="11"/>
      <c r="P6" s="11"/>
      <c r="R6" s="12">
        <f>GETPIVOTDATA("[Measures].[Average of Economy]",'Player Sumary'!$A$77)</f>
        <v>3.0515422885572141</v>
      </c>
      <c r="S6" s="12"/>
      <c r="T6" s="12"/>
      <c r="U6" s="12"/>
      <c r="V6" s="12"/>
    </row>
    <row r="7" spans="12:22" x14ac:dyDescent="0.3">
      <c r="L7" s="11"/>
      <c r="M7" s="11"/>
      <c r="N7" s="11"/>
      <c r="O7" s="11"/>
      <c r="P7" s="11"/>
      <c r="R7" s="12"/>
      <c r="S7" s="12"/>
      <c r="T7" s="12"/>
      <c r="U7" s="12"/>
      <c r="V7" s="12"/>
    </row>
    <row r="8" spans="12:22" x14ac:dyDescent="0.3">
      <c r="L8" s="11"/>
      <c r="M8" s="11"/>
      <c r="N8" s="11"/>
      <c r="O8" s="11"/>
      <c r="P8" s="11"/>
      <c r="R8" s="12"/>
      <c r="S8" s="12"/>
      <c r="T8" s="12"/>
      <c r="U8" s="12"/>
      <c r="V8" s="12"/>
    </row>
    <row r="9" spans="12:22" x14ac:dyDescent="0.3">
      <c r="L9" s="11"/>
      <c r="M9" s="11"/>
      <c r="N9" s="11"/>
      <c r="O9" s="11"/>
      <c r="P9" s="11"/>
      <c r="R9" s="12"/>
      <c r="S9" s="12"/>
      <c r="T9" s="12"/>
      <c r="U9" s="12"/>
      <c r="V9" s="12"/>
    </row>
    <row r="10" spans="12:22" x14ac:dyDescent="0.3">
      <c r="L10" s="11"/>
      <c r="M10" s="11"/>
      <c r="N10" s="11"/>
      <c r="O10" s="11"/>
      <c r="P10" s="11"/>
      <c r="R10" s="12"/>
      <c r="S10" s="12"/>
      <c r="T10" s="12"/>
      <c r="U10" s="12"/>
      <c r="V10" s="12"/>
    </row>
    <row r="11" spans="12:22" x14ac:dyDescent="0.3">
      <c r="L11" s="11"/>
      <c r="M11" s="11"/>
      <c r="N11" s="11"/>
      <c r="O11" s="11"/>
      <c r="P11" s="11"/>
      <c r="R11" s="12"/>
      <c r="S11" s="12"/>
      <c r="T11" s="12"/>
      <c r="U11" s="12"/>
      <c r="V11" s="12"/>
    </row>
    <row r="12" spans="12:22" x14ac:dyDescent="0.3">
      <c r="L12" s="11"/>
      <c r="M12" s="11"/>
      <c r="N12" s="11"/>
      <c r="O12" s="11"/>
      <c r="P12" s="11"/>
      <c r="R12" s="12"/>
      <c r="S12" s="12"/>
      <c r="T12" s="12"/>
      <c r="U12" s="12"/>
      <c r="V12" s="12"/>
    </row>
  </sheetData>
  <mergeCells count="2">
    <mergeCell ref="L6:P12"/>
    <mergeCell ref="R6:V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701C-C1FD-4E7E-8543-18131E5B580A}">
  <dimension ref="A1:K202"/>
  <sheetViews>
    <sheetView topLeftCell="A2" workbookViewId="0">
      <selection activeCell="E8" sqref="E8"/>
    </sheetView>
  </sheetViews>
  <sheetFormatPr defaultRowHeight="14.4" x14ac:dyDescent="0.3"/>
  <cols>
    <col min="1" max="1" width="10.88671875" bestFit="1" customWidth="1"/>
    <col min="2" max="2" width="11" bestFit="1" customWidth="1"/>
    <col min="3" max="3" width="7.21875" bestFit="1" customWidth="1"/>
    <col min="4" max="4" width="13.21875" bestFit="1" customWidth="1"/>
    <col min="5" max="5" width="7.77734375" bestFit="1" customWidth="1"/>
    <col min="6" max="6" width="7.6640625" bestFit="1" customWidth="1"/>
    <col min="7" max="7" width="12.77734375" bestFit="1" customWidth="1"/>
    <col min="8" max="8" width="14.88671875" bestFit="1" customWidth="1"/>
    <col min="9" max="9" width="16.5546875" bestFit="1" customWidth="1"/>
    <col min="10" max="10" width="10" bestFit="1" customWidth="1"/>
    <col min="11" max="11" width="10.77734375" bestFit="1" customWidth="1"/>
  </cols>
  <sheetData>
    <row r="1" spans="1:11" x14ac:dyDescent="0.3">
      <c r="A1" t="s">
        <v>201</v>
      </c>
      <c r="B1" t="s">
        <v>0</v>
      </c>
      <c r="C1" t="s">
        <v>274</v>
      </c>
      <c r="D1" t="s">
        <v>275</v>
      </c>
      <c r="E1" t="s">
        <v>276</v>
      </c>
      <c r="F1" t="s">
        <v>277</v>
      </c>
      <c r="G1" t="s">
        <v>278</v>
      </c>
      <c r="H1" t="s">
        <v>279</v>
      </c>
      <c r="I1" t="s">
        <v>280</v>
      </c>
      <c r="J1" t="s">
        <v>281</v>
      </c>
      <c r="K1" t="s">
        <v>282</v>
      </c>
    </row>
    <row r="2" spans="1:11" x14ac:dyDescent="0.3">
      <c r="A2" t="s">
        <v>214</v>
      </c>
      <c r="B2" t="s">
        <v>34</v>
      </c>
      <c r="C2">
        <v>58</v>
      </c>
      <c r="D2">
        <v>32</v>
      </c>
      <c r="E2">
        <v>6</v>
      </c>
      <c r="F2">
        <v>3</v>
      </c>
      <c r="G2">
        <v>181.25</v>
      </c>
      <c r="H2">
        <v>0</v>
      </c>
      <c r="I2">
        <v>0</v>
      </c>
      <c r="J2">
        <v>0</v>
      </c>
      <c r="K2">
        <v>0</v>
      </c>
    </row>
    <row r="3" spans="1:11" x14ac:dyDescent="0.3">
      <c r="A3" t="s">
        <v>214</v>
      </c>
      <c r="B3" t="s">
        <v>47</v>
      </c>
      <c r="C3">
        <v>72</v>
      </c>
      <c r="D3">
        <v>50</v>
      </c>
      <c r="E3">
        <v>5</v>
      </c>
      <c r="F3">
        <v>2</v>
      </c>
      <c r="G3">
        <v>144</v>
      </c>
      <c r="H3">
        <v>0</v>
      </c>
      <c r="I3">
        <v>0</v>
      </c>
      <c r="J3">
        <v>0</v>
      </c>
      <c r="K3">
        <v>0</v>
      </c>
    </row>
    <row r="4" spans="1:11" x14ac:dyDescent="0.3">
      <c r="A4" t="s">
        <v>214</v>
      </c>
      <c r="B4" t="s">
        <v>53</v>
      </c>
      <c r="C4">
        <v>0</v>
      </c>
      <c r="D4">
        <v>0</v>
      </c>
      <c r="E4">
        <v>0</v>
      </c>
      <c r="F4">
        <v>0</v>
      </c>
      <c r="G4">
        <v>0</v>
      </c>
      <c r="H4">
        <v>4</v>
      </c>
      <c r="I4">
        <v>28</v>
      </c>
      <c r="J4">
        <v>2</v>
      </c>
      <c r="K4">
        <v>7</v>
      </c>
    </row>
    <row r="5" spans="1:11" x14ac:dyDescent="0.3">
      <c r="A5" t="s">
        <v>215</v>
      </c>
      <c r="B5" t="s">
        <v>119</v>
      </c>
      <c r="C5">
        <v>95</v>
      </c>
      <c r="D5">
        <v>58</v>
      </c>
      <c r="E5">
        <v>10</v>
      </c>
      <c r="F5">
        <v>4</v>
      </c>
      <c r="G5">
        <v>163.79</v>
      </c>
      <c r="H5">
        <v>0</v>
      </c>
      <c r="I5">
        <v>0</v>
      </c>
      <c r="J5">
        <v>0</v>
      </c>
      <c r="K5">
        <v>0</v>
      </c>
    </row>
    <row r="6" spans="1:11" x14ac:dyDescent="0.3">
      <c r="A6" t="s">
        <v>215</v>
      </c>
      <c r="B6" t="s">
        <v>71</v>
      </c>
      <c r="C6">
        <v>45</v>
      </c>
      <c r="D6">
        <v>35</v>
      </c>
      <c r="E6">
        <v>4</v>
      </c>
      <c r="F6">
        <v>1</v>
      </c>
      <c r="G6">
        <v>128.57</v>
      </c>
      <c r="H6">
        <v>0</v>
      </c>
      <c r="I6">
        <v>0</v>
      </c>
      <c r="J6">
        <v>0</v>
      </c>
      <c r="K6">
        <v>0</v>
      </c>
    </row>
    <row r="7" spans="1:11" x14ac:dyDescent="0.3">
      <c r="A7" t="s">
        <v>216</v>
      </c>
      <c r="B7" t="s">
        <v>63</v>
      </c>
      <c r="C7">
        <v>34</v>
      </c>
      <c r="D7">
        <v>18</v>
      </c>
      <c r="E7">
        <v>2</v>
      </c>
      <c r="F7">
        <v>3</v>
      </c>
      <c r="G7">
        <v>188.89</v>
      </c>
      <c r="H7">
        <v>4</v>
      </c>
      <c r="I7">
        <v>38</v>
      </c>
      <c r="J7">
        <v>3</v>
      </c>
      <c r="K7">
        <v>9.5</v>
      </c>
    </row>
    <row r="8" spans="1:11" x14ac:dyDescent="0.3">
      <c r="A8" t="s">
        <v>216</v>
      </c>
      <c r="B8" t="s">
        <v>101</v>
      </c>
      <c r="C8">
        <v>0</v>
      </c>
      <c r="D8">
        <v>0</v>
      </c>
      <c r="E8">
        <v>0</v>
      </c>
      <c r="F8">
        <v>0</v>
      </c>
      <c r="G8">
        <v>0</v>
      </c>
      <c r="H8">
        <v>4</v>
      </c>
      <c r="I8">
        <v>30</v>
      </c>
      <c r="J8">
        <v>2</v>
      </c>
      <c r="K8">
        <v>7.5</v>
      </c>
    </row>
    <row r="9" spans="1:11" x14ac:dyDescent="0.3">
      <c r="A9" t="s">
        <v>217</v>
      </c>
      <c r="B9" t="s">
        <v>84</v>
      </c>
      <c r="C9">
        <v>65</v>
      </c>
      <c r="D9">
        <v>40</v>
      </c>
      <c r="E9">
        <v>7</v>
      </c>
      <c r="F9">
        <v>2</v>
      </c>
      <c r="G9">
        <v>162.5</v>
      </c>
      <c r="H9">
        <v>0</v>
      </c>
      <c r="I9">
        <v>0</v>
      </c>
      <c r="J9">
        <v>0</v>
      </c>
      <c r="K9">
        <v>0</v>
      </c>
    </row>
    <row r="10" spans="1:11" x14ac:dyDescent="0.3">
      <c r="A10" t="s">
        <v>217</v>
      </c>
      <c r="B10" t="s">
        <v>16</v>
      </c>
      <c r="C10">
        <v>0</v>
      </c>
      <c r="D10">
        <v>0</v>
      </c>
      <c r="E10">
        <v>0</v>
      </c>
      <c r="F10">
        <v>0</v>
      </c>
      <c r="G10">
        <v>0</v>
      </c>
      <c r="H10">
        <v>3.2</v>
      </c>
      <c r="I10">
        <v>25</v>
      </c>
      <c r="J10">
        <v>3</v>
      </c>
      <c r="K10">
        <v>7.5</v>
      </c>
    </row>
    <row r="11" spans="1:11" x14ac:dyDescent="0.3">
      <c r="A11" t="s">
        <v>218</v>
      </c>
      <c r="B11" t="s">
        <v>95</v>
      </c>
      <c r="C11">
        <v>88</v>
      </c>
      <c r="D11">
        <v>52</v>
      </c>
      <c r="E11">
        <v>8</v>
      </c>
      <c r="F11">
        <v>3</v>
      </c>
      <c r="G11">
        <v>169.23</v>
      </c>
      <c r="H11">
        <v>0</v>
      </c>
      <c r="I11">
        <v>0</v>
      </c>
      <c r="J11">
        <v>0</v>
      </c>
      <c r="K11">
        <v>0</v>
      </c>
    </row>
    <row r="12" spans="1:11" x14ac:dyDescent="0.3">
      <c r="A12" t="s">
        <v>218</v>
      </c>
      <c r="B12" t="s">
        <v>47</v>
      </c>
      <c r="C12">
        <v>5</v>
      </c>
      <c r="D12">
        <v>7</v>
      </c>
      <c r="E12">
        <v>0</v>
      </c>
      <c r="F12">
        <v>0</v>
      </c>
      <c r="G12">
        <v>71.430000000000007</v>
      </c>
      <c r="H12">
        <v>0</v>
      </c>
      <c r="I12">
        <v>0</v>
      </c>
      <c r="J12">
        <v>0</v>
      </c>
      <c r="K12">
        <v>0</v>
      </c>
    </row>
    <row r="13" spans="1:11" x14ac:dyDescent="0.3">
      <c r="A13" t="s">
        <v>219</v>
      </c>
      <c r="B13" t="s">
        <v>66</v>
      </c>
      <c r="C13">
        <v>18</v>
      </c>
      <c r="D13">
        <v>10</v>
      </c>
      <c r="E13">
        <v>1</v>
      </c>
      <c r="F13">
        <v>1</v>
      </c>
      <c r="G13">
        <v>180</v>
      </c>
      <c r="H13">
        <v>4</v>
      </c>
      <c r="I13">
        <v>22</v>
      </c>
      <c r="J13">
        <v>2</v>
      </c>
      <c r="K13">
        <v>5.5</v>
      </c>
    </row>
    <row r="14" spans="1:11" x14ac:dyDescent="0.3">
      <c r="A14" t="s">
        <v>219</v>
      </c>
      <c r="B14" t="s">
        <v>75</v>
      </c>
      <c r="C14">
        <v>0</v>
      </c>
      <c r="D14">
        <v>0</v>
      </c>
      <c r="E14">
        <v>0</v>
      </c>
      <c r="F14">
        <v>0</v>
      </c>
      <c r="G14">
        <v>0</v>
      </c>
      <c r="H14">
        <v>4</v>
      </c>
      <c r="I14">
        <v>25</v>
      </c>
      <c r="J14">
        <v>1</v>
      </c>
      <c r="K14">
        <v>6.25</v>
      </c>
    </row>
    <row r="15" spans="1:11" x14ac:dyDescent="0.3">
      <c r="A15" t="s">
        <v>220</v>
      </c>
      <c r="B15" t="s">
        <v>37</v>
      </c>
      <c r="C15">
        <v>0</v>
      </c>
      <c r="D15">
        <v>0</v>
      </c>
      <c r="E15">
        <v>0</v>
      </c>
      <c r="F15">
        <v>0</v>
      </c>
      <c r="G15">
        <v>0</v>
      </c>
      <c r="H15">
        <v>4</v>
      </c>
      <c r="I15">
        <v>24</v>
      </c>
      <c r="J15">
        <v>3</v>
      </c>
      <c r="K15">
        <v>6</v>
      </c>
    </row>
    <row r="16" spans="1:11" x14ac:dyDescent="0.3">
      <c r="A16" t="s">
        <v>220</v>
      </c>
      <c r="B16" t="s">
        <v>98</v>
      </c>
      <c r="C16">
        <v>35</v>
      </c>
      <c r="D16">
        <v>25</v>
      </c>
      <c r="E16">
        <v>2</v>
      </c>
      <c r="F16">
        <v>2</v>
      </c>
      <c r="G16">
        <v>140</v>
      </c>
      <c r="H16">
        <v>0</v>
      </c>
      <c r="I16">
        <v>0</v>
      </c>
      <c r="J16">
        <v>0</v>
      </c>
      <c r="K16">
        <v>0</v>
      </c>
    </row>
    <row r="17" spans="1:11" x14ac:dyDescent="0.3">
      <c r="A17" t="s">
        <v>221</v>
      </c>
      <c r="B17" t="s">
        <v>117</v>
      </c>
      <c r="C17">
        <v>56</v>
      </c>
      <c r="D17">
        <v>28</v>
      </c>
      <c r="E17">
        <v>3</v>
      </c>
      <c r="F17">
        <v>5</v>
      </c>
      <c r="G17">
        <v>200</v>
      </c>
      <c r="H17">
        <v>0</v>
      </c>
      <c r="I17">
        <v>0</v>
      </c>
      <c r="J17">
        <v>0</v>
      </c>
      <c r="K17">
        <v>0</v>
      </c>
    </row>
    <row r="18" spans="1:11" x14ac:dyDescent="0.3">
      <c r="A18" t="s">
        <v>221</v>
      </c>
      <c r="B18" t="s">
        <v>27</v>
      </c>
      <c r="C18">
        <v>22</v>
      </c>
      <c r="D18">
        <v>19</v>
      </c>
      <c r="E18">
        <v>1</v>
      </c>
      <c r="F18">
        <v>0</v>
      </c>
      <c r="G18">
        <v>115.79</v>
      </c>
      <c r="H18">
        <v>0</v>
      </c>
      <c r="I18">
        <v>0</v>
      </c>
      <c r="J18">
        <v>0</v>
      </c>
      <c r="K18">
        <v>0</v>
      </c>
    </row>
    <row r="19" spans="1:11" x14ac:dyDescent="0.3">
      <c r="A19" t="s">
        <v>222</v>
      </c>
      <c r="B19" t="s">
        <v>68</v>
      </c>
      <c r="C19">
        <v>0</v>
      </c>
      <c r="D19">
        <v>0</v>
      </c>
      <c r="E19">
        <v>0</v>
      </c>
      <c r="F19">
        <v>0</v>
      </c>
      <c r="G19">
        <v>0</v>
      </c>
      <c r="H19">
        <v>3.3</v>
      </c>
      <c r="I19">
        <v>19</v>
      </c>
      <c r="J19">
        <v>4</v>
      </c>
      <c r="K19">
        <v>5.43</v>
      </c>
    </row>
    <row r="20" spans="1:11" x14ac:dyDescent="0.3">
      <c r="A20" t="s">
        <v>222</v>
      </c>
      <c r="B20" t="s">
        <v>47</v>
      </c>
      <c r="C20">
        <v>40</v>
      </c>
      <c r="D20">
        <v>30</v>
      </c>
      <c r="E20">
        <v>3</v>
      </c>
      <c r="F20">
        <v>1</v>
      </c>
      <c r="G20">
        <v>133.33000000000001</v>
      </c>
      <c r="H20">
        <v>0</v>
      </c>
      <c r="I20">
        <v>0</v>
      </c>
      <c r="J20">
        <v>0</v>
      </c>
      <c r="K20">
        <v>0</v>
      </c>
    </row>
    <row r="21" spans="1:11" x14ac:dyDescent="0.3">
      <c r="A21" t="s">
        <v>223</v>
      </c>
      <c r="B21" t="s">
        <v>75</v>
      </c>
      <c r="C21">
        <v>0</v>
      </c>
      <c r="D21">
        <v>0</v>
      </c>
      <c r="E21">
        <v>0</v>
      </c>
      <c r="F21">
        <v>0</v>
      </c>
      <c r="G21">
        <v>0</v>
      </c>
      <c r="H21">
        <v>4</v>
      </c>
      <c r="I21">
        <v>17</v>
      </c>
      <c r="J21">
        <v>2</v>
      </c>
      <c r="K21">
        <v>4.25</v>
      </c>
    </row>
    <row r="22" spans="1:11" x14ac:dyDescent="0.3">
      <c r="A22" t="s">
        <v>223</v>
      </c>
      <c r="B22" t="s">
        <v>95</v>
      </c>
      <c r="C22">
        <v>12</v>
      </c>
      <c r="D22">
        <v>14</v>
      </c>
      <c r="E22">
        <v>1</v>
      </c>
      <c r="F22">
        <v>0</v>
      </c>
      <c r="G22">
        <v>85.71</v>
      </c>
      <c r="H22">
        <v>0</v>
      </c>
      <c r="I22">
        <v>0</v>
      </c>
      <c r="J22">
        <v>0</v>
      </c>
      <c r="K22">
        <v>0</v>
      </c>
    </row>
    <row r="23" spans="1:11" x14ac:dyDescent="0.3">
      <c r="A23" t="s">
        <v>224</v>
      </c>
      <c r="B23" t="s">
        <v>98</v>
      </c>
      <c r="C23">
        <v>75</v>
      </c>
      <c r="D23">
        <v>45</v>
      </c>
      <c r="E23">
        <v>5</v>
      </c>
      <c r="F23">
        <v>4</v>
      </c>
      <c r="G23">
        <v>166.67</v>
      </c>
      <c r="H23">
        <v>0</v>
      </c>
      <c r="I23">
        <v>0</v>
      </c>
      <c r="J23">
        <v>0</v>
      </c>
      <c r="K23">
        <v>0</v>
      </c>
    </row>
    <row r="24" spans="1:11" x14ac:dyDescent="0.3">
      <c r="A24" t="s">
        <v>224</v>
      </c>
      <c r="B24" t="s">
        <v>31</v>
      </c>
      <c r="C24">
        <v>25</v>
      </c>
      <c r="D24">
        <v>18</v>
      </c>
      <c r="E24">
        <v>1</v>
      </c>
      <c r="F24">
        <v>1</v>
      </c>
      <c r="G24">
        <v>138.88999999999999</v>
      </c>
      <c r="H24">
        <v>4</v>
      </c>
      <c r="I24">
        <v>35</v>
      </c>
      <c r="J24">
        <v>1</v>
      </c>
      <c r="K24">
        <v>8.75</v>
      </c>
    </row>
    <row r="25" spans="1:11" x14ac:dyDescent="0.3">
      <c r="A25" t="s">
        <v>225</v>
      </c>
      <c r="B25" t="s">
        <v>41</v>
      </c>
      <c r="C25">
        <v>48</v>
      </c>
      <c r="D25">
        <v>32</v>
      </c>
      <c r="E25">
        <v>4</v>
      </c>
      <c r="F25">
        <v>1</v>
      </c>
      <c r="G25">
        <v>150</v>
      </c>
      <c r="H25">
        <v>0</v>
      </c>
      <c r="I25">
        <v>0</v>
      </c>
      <c r="J25">
        <v>0</v>
      </c>
      <c r="K25">
        <v>0</v>
      </c>
    </row>
    <row r="26" spans="1:11" x14ac:dyDescent="0.3">
      <c r="A26" t="s">
        <v>225</v>
      </c>
      <c r="B26" t="s">
        <v>115</v>
      </c>
      <c r="C26">
        <v>0</v>
      </c>
      <c r="D26">
        <v>0</v>
      </c>
      <c r="E26">
        <v>0</v>
      </c>
      <c r="F26">
        <v>0</v>
      </c>
      <c r="G26">
        <v>0</v>
      </c>
      <c r="H26">
        <v>4</v>
      </c>
      <c r="I26">
        <v>30</v>
      </c>
      <c r="J26">
        <v>2</v>
      </c>
      <c r="K26">
        <v>7.5</v>
      </c>
    </row>
    <row r="27" spans="1:11" x14ac:dyDescent="0.3">
      <c r="A27" t="s">
        <v>226</v>
      </c>
      <c r="B27" t="s">
        <v>47</v>
      </c>
      <c r="C27">
        <v>105</v>
      </c>
      <c r="D27">
        <v>60</v>
      </c>
      <c r="E27">
        <v>12</v>
      </c>
      <c r="F27">
        <v>3</v>
      </c>
      <c r="G27">
        <v>175</v>
      </c>
      <c r="H27">
        <v>0</v>
      </c>
      <c r="I27">
        <v>0</v>
      </c>
      <c r="J27">
        <v>0</v>
      </c>
      <c r="K27">
        <v>0</v>
      </c>
    </row>
    <row r="28" spans="1:11" x14ac:dyDescent="0.3">
      <c r="A28" t="s">
        <v>226</v>
      </c>
      <c r="B28" t="s">
        <v>79</v>
      </c>
      <c r="C28">
        <v>0</v>
      </c>
      <c r="D28">
        <v>0</v>
      </c>
      <c r="E28">
        <v>0</v>
      </c>
      <c r="F28">
        <v>0</v>
      </c>
      <c r="G28">
        <v>0</v>
      </c>
      <c r="H28">
        <v>4</v>
      </c>
      <c r="I28">
        <v>40</v>
      </c>
      <c r="J28">
        <v>1</v>
      </c>
      <c r="K28">
        <v>10</v>
      </c>
    </row>
    <row r="29" spans="1:11" x14ac:dyDescent="0.3">
      <c r="A29" t="s">
        <v>227</v>
      </c>
      <c r="B29" t="s">
        <v>8</v>
      </c>
      <c r="C29">
        <v>88</v>
      </c>
      <c r="D29">
        <v>48</v>
      </c>
      <c r="E29">
        <v>9</v>
      </c>
      <c r="F29">
        <v>4</v>
      </c>
      <c r="G29">
        <v>183.33</v>
      </c>
      <c r="H29">
        <v>0</v>
      </c>
      <c r="I29">
        <v>0</v>
      </c>
      <c r="J29">
        <v>0</v>
      </c>
      <c r="K29">
        <v>0</v>
      </c>
    </row>
    <row r="30" spans="1:11" x14ac:dyDescent="0.3">
      <c r="A30" t="s">
        <v>227</v>
      </c>
      <c r="B30" t="s">
        <v>89</v>
      </c>
      <c r="C30">
        <v>0</v>
      </c>
      <c r="D30">
        <v>0</v>
      </c>
      <c r="E30">
        <v>0</v>
      </c>
      <c r="F30">
        <v>0</v>
      </c>
      <c r="G30">
        <v>0</v>
      </c>
      <c r="H30">
        <v>4</v>
      </c>
      <c r="I30">
        <v>30</v>
      </c>
      <c r="J30">
        <v>1</v>
      </c>
      <c r="K30">
        <v>7.5</v>
      </c>
    </row>
    <row r="31" spans="1:11" x14ac:dyDescent="0.3">
      <c r="A31" t="s">
        <v>228</v>
      </c>
      <c r="B31" t="s">
        <v>111</v>
      </c>
      <c r="C31">
        <v>65</v>
      </c>
      <c r="D31">
        <v>40</v>
      </c>
      <c r="E31">
        <v>6</v>
      </c>
      <c r="F31">
        <v>2</v>
      </c>
      <c r="G31">
        <v>162.5</v>
      </c>
      <c r="H31">
        <v>0</v>
      </c>
      <c r="I31">
        <v>0</v>
      </c>
      <c r="J31">
        <v>0</v>
      </c>
      <c r="K31">
        <v>0</v>
      </c>
    </row>
    <row r="32" spans="1:11" x14ac:dyDescent="0.3">
      <c r="A32" t="s">
        <v>228</v>
      </c>
      <c r="B32" t="s">
        <v>59</v>
      </c>
      <c r="C32">
        <v>10</v>
      </c>
      <c r="D32">
        <v>8</v>
      </c>
      <c r="E32">
        <v>0</v>
      </c>
      <c r="F32">
        <v>1</v>
      </c>
      <c r="G32">
        <v>125</v>
      </c>
      <c r="H32">
        <v>0</v>
      </c>
      <c r="I32">
        <v>0</v>
      </c>
      <c r="J32">
        <v>0</v>
      </c>
      <c r="K32">
        <v>0</v>
      </c>
    </row>
    <row r="33" spans="1:11" x14ac:dyDescent="0.3">
      <c r="A33" t="s">
        <v>229</v>
      </c>
      <c r="B33" t="s">
        <v>101</v>
      </c>
      <c r="C33">
        <v>0</v>
      </c>
      <c r="D33">
        <v>0</v>
      </c>
      <c r="E33">
        <v>0</v>
      </c>
      <c r="F33">
        <v>0</v>
      </c>
      <c r="G33">
        <v>0</v>
      </c>
      <c r="H33">
        <v>4</v>
      </c>
      <c r="I33">
        <v>22</v>
      </c>
      <c r="J33">
        <v>3</v>
      </c>
      <c r="K33">
        <v>5.5</v>
      </c>
    </row>
    <row r="34" spans="1:11" x14ac:dyDescent="0.3">
      <c r="A34" t="s">
        <v>229</v>
      </c>
      <c r="B34" t="s">
        <v>71</v>
      </c>
      <c r="C34">
        <v>40</v>
      </c>
      <c r="D34">
        <v>30</v>
      </c>
      <c r="E34">
        <v>4</v>
      </c>
      <c r="F34">
        <v>1</v>
      </c>
      <c r="G34">
        <v>133.33000000000001</v>
      </c>
      <c r="H34">
        <v>0</v>
      </c>
      <c r="I34">
        <v>0</v>
      </c>
      <c r="J34">
        <v>0</v>
      </c>
      <c r="K34">
        <v>0</v>
      </c>
    </row>
    <row r="35" spans="1:11" x14ac:dyDescent="0.3">
      <c r="A35" t="s">
        <v>230</v>
      </c>
      <c r="B35" t="s">
        <v>34</v>
      </c>
      <c r="C35">
        <v>55</v>
      </c>
      <c r="D35">
        <v>30</v>
      </c>
      <c r="E35">
        <v>5</v>
      </c>
      <c r="F35">
        <v>3</v>
      </c>
      <c r="G35">
        <v>183.33</v>
      </c>
      <c r="H35">
        <v>0</v>
      </c>
      <c r="I35">
        <v>0</v>
      </c>
      <c r="J35">
        <v>0</v>
      </c>
      <c r="K35">
        <v>0</v>
      </c>
    </row>
    <row r="36" spans="1:11" x14ac:dyDescent="0.3">
      <c r="A36" t="s">
        <v>230</v>
      </c>
      <c r="B36" t="s">
        <v>16</v>
      </c>
      <c r="C36">
        <v>0</v>
      </c>
      <c r="D36">
        <v>0</v>
      </c>
      <c r="E36">
        <v>0</v>
      </c>
      <c r="F36">
        <v>0</v>
      </c>
      <c r="G36">
        <v>0</v>
      </c>
      <c r="H36">
        <v>4</v>
      </c>
      <c r="I36">
        <v>32</v>
      </c>
      <c r="J36">
        <v>1</v>
      </c>
      <c r="K36">
        <v>8</v>
      </c>
    </row>
    <row r="37" spans="1:11" x14ac:dyDescent="0.3">
      <c r="A37" t="s">
        <v>231</v>
      </c>
      <c r="B37" t="s">
        <v>53</v>
      </c>
      <c r="C37">
        <v>68</v>
      </c>
      <c r="D37">
        <v>40</v>
      </c>
      <c r="E37">
        <v>6</v>
      </c>
      <c r="F37">
        <v>3</v>
      </c>
      <c r="G37">
        <v>170</v>
      </c>
      <c r="H37">
        <v>0</v>
      </c>
      <c r="I37">
        <v>0</v>
      </c>
      <c r="J37">
        <v>0</v>
      </c>
      <c r="K37">
        <v>0</v>
      </c>
    </row>
    <row r="38" spans="1:11" x14ac:dyDescent="0.3">
      <c r="A38" t="s">
        <v>231</v>
      </c>
      <c r="B38" t="s">
        <v>115</v>
      </c>
      <c r="C38">
        <v>0</v>
      </c>
      <c r="D38">
        <v>0</v>
      </c>
      <c r="E38">
        <v>0</v>
      </c>
      <c r="F38">
        <v>0</v>
      </c>
      <c r="G38">
        <v>0</v>
      </c>
      <c r="H38">
        <v>4</v>
      </c>
      <c r="I38">
        <v>42</v>
      </c>
      <c r="J38">
        <v>1</v>
      </c>
      <c r="K38">
        <v>10.5</v>
      </c>
    </row>
    <row r="39" spans="1:11" x14ac:dyDescent="0.3">
      <c r="A39" t="s">
        <v>232</v>
      </c>
      <c r="B39" t="s">
        <v>89</v>
      </c>
      <c r="C39">
        <v>0</v>
      </c>
      <c r="D39">
        <v>0</v>
      </c>
      <c r="E39">
        <v>0</v>
      </c>
      <c r="F39">
        <v>0</v>
      </c>
      <c r="G39">
        <v>0</v>
      </c>
      <c r="H39">
        <v>4</v>
      </c>
      <c r="I39">
        <v>20</v>
      </c>
      <c r="J39">
        <v>3</v>
      </c>
      <c r="K39">
        <v>5</v>
      </c>
    </row>
    <row r="40" spans="1:11" x14ac:dyDescent="0.3">
      <c r="A40" t="s">
        <v>232</v>
      </c>
      <c r="B40" t="s">
        <v>63</v>
      </c>
      <c r="C40">
        <v>25</v>
      </c>
      <c r="D40">
        <v>15</v>
      </c>
      <c r="E40">
        <v>2</v>
      </c>
      <c r="F40">
        <v>2</v>
      </c>
      <c r="G40">
        <v>166.67</v>
      </c>
      <c r="H40">
        <v>0</v>
      </c>
      <c r="I40">
        <v>0</v>
      </c>
      <c r="J40">
        <v>0</v>
      </c>
      <c r="K40">
        <v>0</v>
      </c>
    </row>
    <row r="41" spans="1:11" x14ac:dyDescent="0.3">
      <c r="A41" t="s">
        <v>233</v>
      </c>
      <c r="B41" t="s">
        <v>79</v>
      </c>
      <c r="C41">
        <v>50</v>
      </c>
      <c r="D41">
        <v>30</v>
      </c>
      <c r="E41">
        <v>4</v>
      </c>
      <c r="F41">
        <v>3</v>
      </c>
      <c r="G41">
        <v>166.67</v>
      </c>
      <c r="H41">
        <v>0</v>
      </c>
      <c r="I41">
        <v>0</v>
      </c>
      <c r="J41">
        <v>0</v>
      </c>
      <c r="K41">
        <v>0</v>
      </c>
    </row>
    <row r="42" spans="1:11" x14ac:dyDescent="0.3">
      <c r="A42" t="s">
        <v>233</v>
      </c>
      <c r="B42" t="s">
        <v>107</v>
      </c>
      <c r="C42">
        <v>0</v>
      </c>
      <c r="D42">
        <v>0</v>
      </c>
      <c r="E42">
        <v>0</v>
      </c>
      <c r="F42">
        <v>0</v>
      </c>
      <c r="G42">
        <v>0</v>
      </c>
      <c r="H42">
        <v>4</v>
      </c>
      <c r="I42">
        <v>40</v>
      </c>
      <c r="J42">
        <v>0</v>
      </c>
      <c r="K42">
        <v>10</v>
      </c>
    </row>
    <row r="43" spans="1:11" x14ac:dyDescent="0.3">
      <c r="A43" t="s">
        <v>234</v>
      </c>
      <c r="B43" t="s">
        <v>16</v>
      </c>
      <c r="C43">
        <v>0</v>
      </c>
      <c r="D43">
        <v>0</v>
      </c>
      <c r="E43">
        <v>0</v>
      </c>
      <c r="F43">
        <v>0</v>
      </c>
      <c r="G43">
        <v>0</v>
      </c>
      <c r="H43">
        <v>4</v>
      </c>
      <c r="I43">
        <v>26</v>
      </c>
      <c r="J43">
        <v>3</v>
      </c>
      <c r="K43">
        <v>6.5</v>
      </c>
    </row>
    <row r="44" spans="1:11" x14ac:dyDescent="0.3">
      <c r="A44" t="s">
        <v>234</v>
      </c>
      <c r="B44" t="s">
        <v>59</v>
      </c>
      <c r="C44">
        <v>35</v>
      </c>
      <c r="D44">
        <v>28</v>
      </c>
      <c r="E44">
        <v>3</v>
      </c>
      <c r="F44">
        <v>1</v>
      </c>
      <c r="G44">
        <v>125</v>
      </c>
      <c r="H44">
        <v>0</v>
      </c>
      <c r="I44">
        <v>0</v>
      </c>
      <c r="J44">
        <v>0</v>
      </c>
      <c r="K44">
        <v>0</v>
      </c>
    </row>
    <row r="45" spans="1:11" x14ac:dyDescent="0.3">
      <c r="A45" t="s">
        <v>235</v>
      </c>
      <c r="B45" t="s">
        <v>115</v>
      </c>
      <c r="C45">
        <v>0</v>
      </c>
      <c r="D45">
        <v>0</v>
      </c>
      <c r="E45">
        <v>0</v>
      </c>
      <c r="F45">
        <v>0</v>
      </c>
      <c r="G45">
        <v>0</v>
      </c>
      <c r="H45">
        <v>4</v>
      </c>
      <c r="I45">
        <v>23</v>
      </c>
      <c r="J45">
        <v>2</v>
      </c>
      <c r="K45">
        <v>5.75</v>
      </c>
    </row>
    <row r="46" spans="1:11" x14ac:dyDescent="0.3">
      <c r="A46" t="s">
        <v>235</v>
      </c>
      <c r="B46" t="s">
        <v>91</v>
      </c>
      <c r="C46">
        <v>0</v>
      </c>
      <c r="D46">
        <v>0</v>
      </c>
      <c r="E46">
        <v>0</v>
      </c>
      <c r="F46">
        <v>0</v>
      </c>
      <c r="G46">
        <v>0</v>
      </c>
      <c r="H46">
        <v>4</v>
      </c>
      <c r="I46">
        <v>34</v>
      </c>
      <c r="J46">
        <v>1</v>
      </c>
      <c r="K46">
        <v>8.5</v>
      </c>
    </row>
    <row r="47" spans="1:11" x14ac:dyDescent="0.3">
      <c r="A47" t="s">
        <v>236</v>
      </c>
      <c r="B47" t="s">
        <v>47</v>
      </c>
      <c r="C47">
        <v>80</v>
      </c>
      <c r="D47">
        <v>55</v>
      </c>
      <c r="E47">
        <v>7</v>
      </c>
      <c r="F47">
        <v>2</v>
      </c>
      <c r="G47">
        <v>145.44999999999999</v>
      </c>
      <c r="H47">
        <v>0</v>
      </c>
      <c r="I47">
        <v>0</v>
      </c>
      <c r="J47">
        <v>0</v>
      </c>
      <c r="K47">
        <v>0</v>
      </c>
    </row>
    <row r="48" spans="1:11" x14ac:dyDescent="0.3">
      <c r="A48" t="s">
        <v>236</v>
      </c>
      <c r="B48" t="s">
        <v>41</v>
      </c>
      <c r="C48">
        <v>30</v>
      </c>
      <c r="D48">
        <v>22</v>
      </c>
      <c r="E48">
        <v>3</v>
      </c>
      <c r="F48">
        <v>0</v>
      </c>
      <c r="G48">
        <v>136.36000000000001</v>
      </c>
      <c r="H48">
        <v>0</v>
      </c>
      <c r="I48">
        <v>0</v>
      </c>
      <c r="J48">
        <v>0</v>
      </c>
      <c r="K48">
        <v>0</v>
      </c>
    </row>
    <row r="49" spans="1:11" x14ac:dyDescent="0.3">
      <c r="A49" t="s">
        <v>237</v>
      </c>
      <c r="B49" t="s">
        <v>21</v>
      </c>
      <c r="C49">
        <v>78</v>
      </c>
      <c r="D49">
        <v>45</v>
      </c>
      <c r="E49">
        <v>8</v>
      </c>
      <c r="F49">
        <v>3</v>
      </c>
      <c r="G49">
        <v>173.33</v>
      </c>
      <c r="H49">
        <v>0</v>
      </c>
      <c r="I49">
        <v>0</v>
      </c>
      <c r="J49">
        <v>0</v>
      </c>
      <c r="K49">
        <v>0</v>
      </c>
    </row>
    <row r="50" spans="1:11" x14ac:dyDescent="0.3">
      <c r="A50" t="s">
        <v>237</v>
      </c>
      <c r="B50" t="s">
        <v>81</v>
      </c>
      <c r="C50">
        <v>0</v>
      </c>
      <c r="D50">
        <v>0</v>
      </c>
      <c r="E50">
        <v>0</v>
      </c>
      <c r="F50">
        <v>0</v>
      </c>
      <c r="G50">
        <v>0</v>
      </c>
      <c r="H50">
        <v>4</v>
      </c>
      <c r="I50">
        <v>28</v>
      </c>
      <c r="J50">
        <v>1</v>
      </c>
      <c r="K50">
        <v>7</v>
      </c>
    </row>
    <row r="51" spans="1:11" x14ac:dyDescent="0.3">
      <c r="A51" t="s">
        <v>238</v>
      </c>
      <c r="B51" t="s">
        <v>119</v>
      </c>
      <c r="C51">
        <v>90</v>
      </c>
      <c r="D51">
        <v>50</v>
      </c>
      <c r="E51">
        <v>11</v>
      </c>
      <c r="F51">
        <v>3</v>
      </c>
      <c r="G51">
        <v>180</v>
      </c>
      <c r="H51">
        <v>0</v>
      </c>
      <c r="I51">
        <v>0</v>
      </c>
      <c r="J51">
        <v>0</v>
      </c>
      <c r="K51">
        <v>0</v>
      </c>
    </row>
    <row r="52" spans="1:11" x14ac:dyDescent="0.3">
      <c r="A52" t="s">
        <v>238</v>
      </c>
      <c r="B52" t="s">
        <v>98</v>
      </c>
      <c r="C52">
        <v>50</v>
      </c>
      <c r="D52">
        <v>35</v>
      </c>
      <c r="E52">
        <v>4</v>
      </c>
      <c r="F52">
        <v>2</v>
      </c>
      <c r="G52">
        <v>142.86000000000001</v>
      </c>
      <c r="H52">
        <v>0</v>
      </c>
      <c r="I52">
        <v>0</v>
      </c>
      <c r="J52">
        <v>0</v>
      </c>
      <c r="K52">
        <v>0</v>
      </c>
    </row>
    <row r="53" spans="1:11" x14ac:dyDescent="0.3">
      <c r="A53" t="s">
        <v>239</v>
      </c>
      <c r="B53" t="s">
        <v>44</v>
      </c>
      <c r="C53">
        <v>0</v>
      </c>
      <c r="D53">
        <v>0</v>
      </c>
      <c r="E53">
        <v>0</v>
      </c>
      <c r="F53">
        <v>0</v>
      </c>
      <c r="G53">
        <v>0</v>
      </c>
      <c r="H53">
        <v>4</v>
      </c>
      <c r="I53">
        <v>21</v>
      </c>
      <c r="J53">
        <v>3</v>
      </c>
      <c r="K53">
        <v>5.25</v>
      </c>
    </row>
    <row r="54" spans="1:11" x14ac:dyDescent="0.3">
      <c r="A54" t="s">
        <v>239</v>
      </c>
      <c r="B54" t="s">
        <v>66</v>
      </c>
      <c r="C54">
        <v>15</v>
      </c>
      <c r="D54">
        <v>10</v>
      </c>
      <c r="E54">
        <v>1</v>
      </c>
      <c r="F54">
        <v>1</v>
      </c>
      <c r="G54">
        <v>150</v>
      </c>
      <c r="H54">
        <v>4</v>
      </c>
      <c r="I54">
        <v>25</v>
      </c>
      <c r="J54">
        <v>1</v>
      </c>
      <c r="K54">
        <v>6.25</v>
      </c>
    </row>
    <row r="55" spans="1:11" x14ac:dyDescent="0.3">
      <c r="A55" t="s">
        <v>240</v>
      </c>
      <c r="B55" t="s">
        <v>84</v>
      </c>
      <c r="C55">
        <v>102</v>
      </c>
      <c r="D55">
        <v>59</v>
      </c>
      <c r="E55">
        <v>10</v>
      </c>
      <c r="F55">
        <v>4</v>
      </c>
      <c r="G55">
        <v>172.88</v>
      </c>
      <c r="H55">
        <v>0</v>
      </c>
      <c r="I55">
        <v>0</v>
      </c>
      <c r="J55">
        <v>0</v>
      </c>
      <c r="K55">
        <v>0</v>
      </c>
    </row>
    <row r="56" spans="1:11" x14ac:dyDescent="0.3">
      <c r="A56" t="s">
        <v>240</v>
      </c>
      <c r="B56" t="s">
        <v>53</v>
      </c>
      <c r="C56">
        <v>33</v>
      </c>
      <c r="D56">
        <v>20</v>
      </c>
      <c r="E56">
        <v>3</v>
      </c>
      <c r="F56">
        <v>2</v>
      </c>
      <c r="G56">
        <v>165</v>
      </c>
      <c r="H56">
        <v>0</v>
      </c>
      <c r="I56">
        <v>0</v>
      </c>
      <c r="J56">
        <v>0</v>
      </c>
      <c r="K56">
        <v>0</v>
      </c>
    </row>
    <row r="57" spans="1:11" x14ac:dyDescent="0.3">
      <c r="A57" t="s">
        <v>241</v>
      </c>
      <c r="B57" t="s">
        <v>27</v>
      </c>
      <c r="C57">
        <v>60</v>
      </c>
      <c r="D57">
        <v>35</v>
      </c>
      <c r="E57">
        <v>5</v>
      </c>
      <c r="F57">
        <v>3</v>
      </c>
      <c r="G57">
        <v>171.43</v>
      </c>
      <c r="H57">
        <v>0</v>
      </c>
      <c r="I57">
        <v>0</v>
      </c>
      <c r="J57">
        <v>0</v>
      </c>
      <c r="K57">
        <v>0</v>
      </c>
    </row>
    <row r="58" spans="1:11" x14ac:dyDescent="0.3">
      <c r="A58" t="s">
        <v>241</v>
      </c>
      <c r="B58" t="s">
        <v>71</v>
      </c>
      <c r="C58">
        <v>25</v>
      </c>
      <c r="D58">
        <v>20</v>
      </c>
      <c r="E58">
        <v>2</v>
      </c>
      <c r="F58">
        <v>0</v>
      </c>
      <c r="G58">
        <v>125</v>
      </c>
      <c r="H58">
        <v>0</v>
      </c>
      <c r="I58">
        <v>0</v>
      </c>
      <c r="J58">
        <v>0</v>
      </c>
      <c r="K58">
        <v>0</v>
      </c>
    </row>
    <row r="59" spans="1:11" x14ac:dyDescent="0.3">
      <c r="A59" t="s">
        <v>242</v>
      </c>
      <c r="B59" t="s">
        <v>105</v>
      </c>
      <c r="C59">
        <v>70</v>
      </c>
      <c r="D59">
        <v>42</v>
      </c>
      <c r="E59">
        <v>8</v>
      </c>
      <c r="F59">
        <v>2</v>
      </c>
      <c r="G59">
        <v>166.67</v>
      </c>
      <c r="H59">
        <v>0</v>
      </c>
      <c r="I59">
        <v>0</v>
      </c>
      <c r="J59">
        <v>0</v>
      </c>
      <c r="K59">
        <v>0</v>
      </c>
    </row>
    <row r="60" spans="1:11" x14ac:dyDescent="0.3">
      <c r="A60" t="s">
        <v>242</v>
      </c>
      <c r="B60" t="s">
        <v>111</v>
      </c>
      <c r="C60">
        <v>20</v>
      </c>
      <c r="D60">
        <v>15</v>
      </c>
      <c r="E60">
        <v>1</v>
      </c>
      <c r="F60">
        <v>1</v>
      </c>
      <c r="G60">
        <v>133.33000000000001</v>
      </c>
      <c r="H60">
        <v>0</v>
      </c>
      <c r="I60">
        <v>0</v>
      </c>
      <c r="J60">
        <v>0</v>
      </c>
      <c r="K60">
        <v>0</v>
      </c>
    </row>
    <row r="61" spans="1:11" x14ac:dyDescent="0.3">
      <c r="A61" t="s">
        <v>243</v>
      </c>
      <c r="B61" t="s">
        <v>59</v>
      </c>
      <c r="C61">
        <v>85</v>
      </c>
      <c r="D61">
        <v>45</v>
      </c>
      <c r="E61">
        <v>7</v>
      </c>
      <c r="F61">
        <v>4</v>
      </c>
      <c r="G61">
        <v>188.89</v>
      </c>
      <c r="H61">
        <v>0</v>
      </c>
      <c r="I61">
        <v>0</v>
      </c>
      <c r="J61">
        <v>0</v>
      </c>
      <c r="K61">
        <v>0</v>
      </c>
    </row>
    <row r="62" spans="1:11" x14ac:dyDescent="0.3">
      <c r="A62" t="s">
        <v>243</v>
      </c>
      <c r="B62" t="s">
        <v>37</v>
      </c>
      <c r="C62">
        <v>0</v>
      </c>
      <c r="D62">
        <v>0</v>
      </c>
      <c r="E62">
        <v>0</v>
      </c>
      <c r="F62">
        <v>0</v>
      </c>
      <c r="G62">
        <v>0</v>
      </c>
      <c r="H62">
        <v>4</v>
      </c>
      <c r="I62">
        <v>35</v>
      </c>
      <c r="J62">
        <v>2</v>
      </c>
      <c r="K62">
        <v>8.75</v>
      </c>
    </row>
    <row r="63" spans="1:11" x14ac:dyDescent="0.3">
      <c r="A63" t="s">
        <v>244</v>
      </c>
      <c r="B63" t="s">
        <v>56</v>
      </c>
      <c r="C63">
        <v>42</v>
      </c>
      <c r="D63">
        <v>21</v>
      </c>
      <c r="E63">
        <v>3</v>
      </c>
      <c r="F63">
        <v>3</v>
      </c>
      <c r="G63">
        <v>200</v>
      </c>
      <c r="H63">
        <v>0</v>
      </c>
      <c r="I63">
        <v>0</v>
      </c>
      <c r="J63">
        <v>0</v>
      </c>
      <c r="K63">
        <v>0</v>
      </c>
    </row>
    <row r="64" spans="1:11" x14ac:dyDescent="0.3">
      <c r="A64" t="s">
        <v>244</v>
      </c>
      <c r="B64" t="s">
        <v>8</v>
      </c>
      <c r="C64">
        <v>65</v>
      </c>
      <c r="D64">
        <v>40</v>
      </c>
      <c r="E64">
        <v>6</v>
      </c>
      <c r="F64">
        <v>2</v>
      </c>
      <c r="G64">
        <v>162.5</v>
      </c>
      <c r="H64">
        <v>0</v>
      </c>
      <c r="I64">
        <v>0</v>
      </c>
      <c r="J64">
        <v>0</v>
      </c>
      <c r="K64">
        <v>0</v>
      </c>
    </row>
    <row r="65" spans="1:11" x14ac:dyDescent="0.3">
      <c r="A65" t="s">
        <v>245</v>
      </c>
      <c r="B65" t="s">
        <v>81</v>
      </c>
      <c r="C65">
        <v>0</v>
      </c>
      <c r="D65">
        <v>0</v>
      </c>
      <c r="E65">
        <v>0</v>
      </c>
      <c r="F65">
        <v>0</v>
      </c>
      <c r="G65">
        <v>0</v>
      </c>
      <c r="H65">
        <v>4</v>
      </c>
      <c r="I65">
        <v>25</v>
      </c>
      <c r="J65">
        <v>2</v>
      </c>
      <c r="K65">
        <v>6.25</v>
      </c>
    </row>
    <row r="66" spans="1:11" x14ac:dyDescent="0.3">
      <c r="A66" t="s">
        <v>245</v>
      </c>
      <c r="B66" t="s">
        <v>89</v>
      </c>
      <c r="C66">
        <v>0</v>
      </c>
      <c r="D66">
        <v>0</v>
      </c>
      <c r="E66">
        <v>0</v>
      </c>
      <c r="F66">
        <v>0</v>
      </c>
      <c r="G66">
        <v>0</v>
      </c>
      <c r="H66">
        <v>4</v>
      </c>
      <c r="I66">
        <v>30</v>
      </c>
      <c r="J66">
        <v>1</v>
      </c>
      <c r="K66">
        <v>7.5</v>
      </c>
    </row>
    <row r="67" spans="1:11" x14ac:dyDescent="0.3">
      <c r="A67" t="s">
        <v>246</v>
      </c>
      <c r="B67" t="s">
        <v>107</v>
      </c>
      <c r="C67">
        <v>0</v>
      </c>
      <c r="D67">
        <v>0</v>
      </c>
      <c r="E67">
        <v>0</v>
      </c>
      <c r="F67">
        <v>0</v>
      </c>
      <c r="G67">
        <v>0</v>
      </c>
      <c r="H67">
        <v>4</v>
      </c>
      <c r="I67">
        <v>20</v>
      </c>
      <c r="J67">
        <v>3</v>
      </c>
      <c r="K67">
        <v>5</v>
      </c>
    </row>
    <row r="68" spans="1:11" x14ac:dyDescent="0.3">
      <c r="A68" t="s">
        <v>246</v>
      </c>
      <c r="B68" t="s">
        <v>34</v>
      </c>
      <c r="C68">
        <v>20</v>
      </c>
      <c r="D68">
        <v>15</v>
      </c>
      <c r="E68">
        <v>1</v>
      </c>
      <c r="F68">
        <v>1</v>
      </c>
      <c r="G68">
        <v>133.33000000000001</v>
      </c>
      <c r="H68">
        <v>0</v>
      </c>
      <c r="I68">
        <v>0</v>
      </c>
      <c r="J68">
        <v>0</v>
      </c>
      <c r="K68">
        <v>0</v>
      </c>
    </row>
    <row r="69" spans="1:11" x14ac:dyDescent="0.3">
      <c r="A69" t="s">
        <v>247</v>
      </c>
      <c r="B69" t="s">
        <v>63</v>
      </c>
      <c r="C69">
        <v>90</v>
      </c>
      <c r="D69">
        <v>48</v>
      </c>
      <c r="E69">
        <v>8</v>
      </c>
      <c r="F69">
        <v>5</v>
      </c>
      <c r="G69">
        <v>187.5</v>
      </c>
      <c r="H69">
        <v>4</v>
      </c>
      <c r="I69">
        <v>35</v>
      </c>
      <c r="J69">
        <v>1</v>
      </c>
      <c r="K69">
        <v>8.75</v>
      </c>
    </row>
    <row r="70" spans="1:11" x14ac:dyDescent="0.3">
      <c r="A70" t="s">
        <v>247</v>
      </c>
      <c r="B70" t="s">
        <v>71</v>
      </c>
      <c r="C70">
        <v>55</v>
      </c>
      <c r="D70">
        <v>35</v>
      </c>
      <c r="E70">
        <v>5</v>
      </c>
      <c r="F70">
        <v>2</v>
      </c>
      <c r="G70">
        <v>157.13999999999999</v>
      </c>
      <c r="H70">
        <v>0</v>
      </c>
      <c r="I70">
        <v>0</v>
      </c>
      <c r="J70">
        <v>0</v>
      </c>
      <c r="K70">
        <v>0</v>
      </c>
    </row>
    <row r="71" spans="1:11" x14ac:dyDescent="0.3">
      <c r="A71" t="s">
        <v>248</v>
      </c>
      <c r="B71" t="s">
        <v>117</v>
      </c>
      <c r="C71">
        <v>110</v>
      </c>
      <c r="D71">
        <v>60</v>
      </c>
      <c r="E71">
        <v>10</v>
      </c>
      <c r="F71">
        <v>6</v>
      </c>
      <c r="G71">
        <v>183.33</v>
      </c>
      <c r="H71">
        <v>0</v>
      </c>
      <c r="I71">
        <v>0</v>
      </c>
      <c r="J71">
        <v>0</v>
      </c>
      <c r="K71">
        <v>0</v>
      </c>
    </row>
    <row r="72" spans="1:11" x14ac:dyDescent="0.3">
      <c r="A72" t="s">
        <v>248</v>
      </c>
      <c r="B72" t="s">
        <v>51</v>
      </c>
      <c r="C72">
        <v>0</v>
      </c>
      <c r="D72">
        <v>0</v>
      </c>
      <c r="E72">
        <v>0</v>
      </c>
      <c r="F72">
        <v>0</v>
      </c>
      <c r="G72">
        <v>0</v>
      </c>
      <c r="H72">
        <v>4</v>
      </c>
      <c r="I72">
        <v>45</v>
      </c>
      <c r="J72">
        <v>1</v>
      </c>
      <c r="K72">
        <v>11.25</v>
      </c>
    </row>
    <row r="73" spans="1:11" x14ac:dyDescent="0.3">
      <c r="A73" t="s">
        <v>249</v>
      </c>
      <c r="B73" t="s">
        <v>31</v>
      </c>
      <c r="C73">
        <v>30</v>
      </c>
      <c r="D73">
        <v>20</v>
      </c>
      <c r="E73">
        <v>2</v>
      </c>
      <c r="F73">
        <v>2</v>
      </c>
      <c r="G73">
        <v>150</v>
      </c>
      <c r="H73">
        <v>4</v>
      </c>
      <c r="I73">
        <v>25</v>
      </c>
      <c r="J73">
        <v>2</v>
      </c>
      <c r="K73">
        <v>6.25</v>
      </c>
    </row>
    <row r="74" spans="1:11" x14ac:dyDescent="0.3">
      <c r="A74" t="s">
        <v>249</v>
      </c>
      <c r="B74" t="s">
        <v>101</v>
      </c>
      <c r="C74">
        <v>0</v>
      </c>
      <c r="D74">
        <v>0</v>
      </c>
      <c r="E74">
        <v>0</v>
      </c>
      <c r="F74">
        <v>0</v>
      </c>
      <c r="G74">
        <v>0</v>
      </c>
      <c r="H74">
        <v>4</v>
      </c>
      <c r="I74">
        <v>38</v>
      </c>
      <c r="J74">
        <v>1</v>
      </c>
      <c r="K74">
        <v>9.5</v>
      </c>
    </row>
    <row r="75" spans="1:11" x14ac:dyDescent="0.3">
      <c r="A75" t="s">
        <v>250</v>
      </c>
      <c r="B75" t="s">
        <v>91</v>
      </c>
      <c r="C75">
        <v>0</v>
      </c>
      <c r="D75">
        <v>0</v>
      </c>
      <c r="E75">
        <v>0</v>
      </c>
      <c r="F75">
        <v>0</v>
      </c>
      <c r="G75">
        <v>0</v>
      </c>
      <c r="H75">
        <v>3.3</v>
      </c>
      <c r="I75">
        <v>18</v>
      </c>
      <c r="J75">
        <v>4</v>
      </c>
      <c r="K75">
        <v>5.14</v>
      </c>
    </row>
    <row r="76" spans="1:11" x14ac:dyDescent="0.3">
      <c r="A76" t="s">
        <v>250</v>
      </c>
      <c r="B76" t="s">
        <v>119</v>
      </c>
      <c r="C76">
        <v>35</v>
      </c>
      <c r="D76">
        <v>28</v>
      </c>
      <c r="E76">
        <v>3</v>
      </c>
      <c r="F76">
        <v>1</v>
      </c>
      <c r="G76">
        <v>125</v>
      </c>
      <c r="H76">
        <v>0</v>
      </c>
      <c r="I76">
        <v>0</v>
      </c>
      <c r="J76">
        <v>0</v>
      </c>
      <c r="K76">
        <v>0</v>
      </c>
    </row>
    <row r="77" spans="1:11" x14ac:dyDescent="0.3">
      <c r="A77" t="s">
        <v>251</v>
      </c>
      <c r="B77" t="s">
        <v>37</v>
      </c>
      <c r="C77">
        <v>0</v>
      </c>
      <c r="D77">
        <v>0</v>
      </c>
      <c r="E77">
        <v>0</v>
      </c>
      <c r="F77">
        <v>0</v>
      </c>
      <c r="G77">
        <v>0</v>
      </c>
      <c r="H77">
        <v>4</v>
      </c>
      <c r="I77">
        <v>22</v>
      </c>
      <c r="J77">
        <v>2</v>
      </c>
      <c r="K77">
        <v>5.5</v>
      </c>
    </row>
    <row r="78" spans="1:11" x14ac:dyDescent="0.3">
      <c r="A78" t="s">
        <v>251</v>
      </c>
      <c r="B78" t="s">
        <v>79</v>
      </c>
      <c r="C78">
        <v>45</v>
      </c>
      <c r="D78">
        <v>30</v>
      </c>
      <c r="E78">
        <v>4</v>
      </c>
      <c r="F78">
        <v>2</v>
      </c>
      <c r="G78">
        <v>150</v>
      </c>
      <c r="H78">
        <v>0</v>
      </c>
      <c r="I78">
        <v>0</v>
      </c>
      <c r="J78">
        <v>0</v>
      </c>
      <c r="K78">
        <v>0</v>
      </c>
    </row>
    <row r="79" spans="1:11" x14ac:dyDescent="0.3">
      <c r="A79" t="s">
        <v>252</v>
      </c>
      <c r="B79" t="s">
        <v>47</v>
      </c>
      <c r="C79">
        <v>120</v>
      </c>
      <c r="D79">
        <v>60</v>
      </c>
      <c r="E79">
        <v>12</v>
      </c>
      <c r="F79">
        <v>7</v>
      </c>
      <c r="G79">
        <v>200</v>
      </c>
      <c r="H79">
        <v>0</v>
      </c>
      <c r="I79">
        <v>0</v>
      </c>
      <c r="J79">
        <v>0</v>
      </c>
      <c r="K79">
        <v>0</v>
      </c>
    </row>
    <row r="80" spans="1:11" x14ac:dyDescent="0.3">
      <c r="A80" t="s">
        <v>252</v>
      </c>
      <c r="B80" t="s">
        <v>66</v>
      </c>
      <c r="C80">
        <v>10</v>
      </c>
      <c r="D80">
        <v>8</v>
      </c>
      <c r="E80">
        <v>0</v>
      </c>
      <c r="F80">
        <v>1</v>
      </c>
      <c r="G80">
        <v>125</v>
      </c>
      <c r="H80">
        <v>4</v>
      </c>
      <c r="I80">
        <v>30</v>
      </c>
      <c r="J80">
        <v>1</v>
      </c>
      <c r="K80">
        <v>7.5</v>
      </c>
    </row>
    <row r="81" spans="1:11" x14ac:dyDescent="0.3">
      <c r="A81" t="s">
        <v>253</v>
      </c>
      <c r="B81" t="s">
        <v>95</v>
      </c>
      <c r="C81">
        <v>85</v>
      </c>
      <c r="D81">
        <v>55</v>
      </c>
      <c r="E81">
        <v>9</v>
      </c>
      <c r="F81">
        <v>2</v>
      </c>
      <c r="G81">
        <v>154.55000000000001</v>
      </c>
      <c r="H81">
        <v>0</v>
      </c>
      <c r="I81">
        <v>0</v>
      </c>
      <c r="J81">
        <v>0</v>
      </c>
      <c r="K81">
        <v>0</v>
      </c>
    </row>
    <row r="82" spans="1:11" x14ac:dyDescent="0.3">
      <c r="A82" t="s">
        <v>253</v>
      </c>
      <c r="B82" t="s">
        <v>107</v>
      </c>
      <c r="C82">
        <v>0</v>
      </c>
      <c r="D82">
        <v>0</v>
      </c>
      <c r="E82">
        <v>0</v>
      </c>
      <c r="F82">
        <v>0</v>
      </c>
      <c r="G82">
        <v>0</v>
      </c>
      <c r="H82">
        <v>4</v>
      </c>
      <c r="I82">
        <v>45</v>
      </c>
      <c r="J82">
        <v>0</v>
      </c>
      <c r="K82">
        <v>11.25</v>
      </c>
    </row>
    <row r="83" spans="1:11" x14ac:dyDescent="0.3">
      <c r="A83" t="s">
        <v>254</v>
      </c>
      <c r="B83" t="s">
        <v>111</v>
      </c>
      <c r="C83">
        <v>70</v>
      </c>
      <c r="D83">
        <v>40</v>
      </c>
      <c r="E83">
        <v>7</v>
      </c>
      <c r="F83">
        <v>3</v>
      </c>
      <c r="G83">
        <v>175</v>
      </c>
      <c r="H83">
        <v>0</v>
      </c>
      <c r="I83">
        <v>0</v>
      </c>
      <c r="J83">
        <v>0</v>
      </c>
      <c r="K83">
        <v>0</v>
      </c>
    </row>
    <row r="84" spans="1:11" x14ac:dyDescent="0.3">
      <c r="A84" t="s">
        <v>254</v>
      </c>
      <c r="B84" t="s">
        <v>16</v>
      </c>
      <c r="C84">
        <v>0</v>
      </c>
      <c r="D84">
        <v>0</v>
      </c>
      <c r="E84">
        <v>0</v>
      </c>
      <c r="F84">
        <v>0</v>
      </c>
      <c r="G84">
        <v>0</v>
      </c>
      <c r="H84">
        <v>4</v>
      </c>
      <c r="I84">
        <v>29</v>
      </c>
      <c r="J84">
        <v>2</v>
      </c>
      <c r="K84">
        <v>7.25</v>
      </c>
    </row>
    <row r="85" spans="1:11" x14ac:dyDescent="0.3">
      <c r="A85" t="s">
        <v>255</v>
      </c>
      <c r="B85" t="s">
        <v>71</v>
      </c>
      <c r="C85">
        <v>90</v>
      </c>
      <c r="D85">
        <v>50</v>
      </c>
      <c r="E85">
        <v>9</v>
      </c>
      <c r="F85">
        <v>4</v>
      </c>
      <c r="G85">
        <v>180</v>
      </c>
      <c r="H85">
        <v>0</v>
      </c>
      <c r="I85">
        <v>0</v>
      </c>
      <c r="J85">
        <v>0</v>
      </c>
      <c r="K85">
        <v>0</v>
      </c>
    </row>
    <row r="86" spans="1:11" x14ac:dyDescent="0.3">
      <c r="A86" t="s">
        <v>255</v>
      </c>
      <c r="B86" t="s">
        <v>41</v>
      </c>
      <c r="C86">
        <v>30</v>
      </c>
      <c r="D86">
        <v>20</v>
      </c>
      <c r="E86">
        <v>2</v>
      </c>
      <c r="F86">
        <v>2</v>
      </c>
      <c r="G86">
        <v>150</v>
      </c>
      <c r="H86">
        <v>0</v>
      </c>
      <c r="I86">
        <v>0</v>
      </c>
      <c r="J86">
        <v>0</v>
      </c>
      <c r="K86">
        <v>0</v>
      </c>
    </row>
    <row r="87" spans="1:11" x14ac:dyDescent="0.3">
      <c r="A87" t="s">
        <v>256</v>
      </c>
      <c r="B87" t="s">
        <v>51</v>
      </c>
      <c r="C87">
        <v>0</v>
      </c>
      <c r="D87">
        <v>0</v>
      </c>
      <c r="E87">
        <v>0</v>
      </c>
      <c r="F87">
        <v>0</v>
      </c>
      <c r="G87">
        <v>0</v>
      </c>
      <c r="H87">
        <v>4</v>
      </c>
      <c r="I87">
        <v>25</v>
      </c>
      <c r="J87">
        <v>3</v>
      </c>
      <c r="K87">
        <v>6.25</v>
      </c>
    </row>
    <row r="88" spans="1:11" x14ac:dyDescent="0.3">
      <c r="A88" t="s">
        <v>256</v>
      </c>
      <c r="B88" t="s">
        <v>21</v>
      </c>
      <c r="C88">
        <v>5</v>
      </c>
      <c r="D88">
        <v>10</v>
      </c>
      <c r="E88">
        <v>0</v>
      </c>
      <c r="F88">
        <v>0</v>
      </c>
      <c r="G88">
        <v>50</v>
      </c>
      <c r="H88">
        <v>0</v>
      </c>
      <c r="I88">
        <v>0</v>
      </c>
      <c r="J88">
        <v>0</v>
      </c>
      <c r="K88">
        <v>0</v>
      </c>
    </row>
    <row r="89" spans="1:11" x14ac:dyDescent="0.3">
      <c r="A89" t="s">
        <v>257</v>
      </c>
      <c r="B89" t="s">
        <v>59</v>
      </c>
      <c r="C89">
        <v>105</v>
      </c>
      <c r="D89">
        <v>55</v>
      </c>
      <c r="E89">
        <v>10</v>
      </c>
      <c r="F89">
        <v>5</v>
      </c>
      <c r="G89">
        <v>190.91</v>
      </c>
      <c r="H89">
        <v>0</v>
      </c>
      <c r="I89">
        <v>0</v>
      </c>
      <c r="J89">
        <v>0</v>
      </c>
      <c r="K89">
        <v>0</v>
      </c>
    </row>
    <row r="90" spans="1:11" x14ac:dyDescent="0.3">
      <c r="A90" t="s">
        <v>257</v>
      </c>
      <c r="B90" t="s">
        <v>89</v>
      </c>
      <c r="C90">
        <v>0</v>
      </c>
      <c r="D90">
        <v>0</v>
      </c>
      <c r="E90">
        <v>0</v>
      </c>
      <c r="F90">
        <v>0</v>
      </c>
      <c r="G90">
        <v>0</v>
      </c>
      <c r="H90">
        <v>4</v>
      </c>
      <c r="I90">
        <v>40</v>
      </c>
      <c r="J90">
        <v>1</v>
      </c>
      <c r="K90">
        <v>10</v>
      </c>
    </row>
    <row r="91" spans="1:11" x14ac:dyDescent="0.3">
      <c r="A91" t="s">
        <v>258</v>
      </c>
      <c r="B91" t="s">
        <v>119</v>
      </c>
      <c r="C91">
        <v>95</v>
      </c>
      <c r="D91">
        <v>58</v>
      </c>
      <c r="E91">
        <v>10</v>
      </c>
      <c r="F91">
        <v>4</v>
      </c>
      <c r="G91">
        <v>163.79</v>
      </c>
      <c r="H91">
        <v>0</v>
      </c>
      <c r="I91">
        <v>0</v>
      </c>
      <c r="J91">
        <v>0</v>
      </c>
      <c r="K91">
        <v>0</v>
      </c>
    </row>
    <row r="92" spans="1:11" x14ac:dyDescent="0.3">
      <c r="A92" t="s">
        <v>258</v>
      </c>
      <c r="B92" t="s">
        <v>71</v>
      </c>
      <c r="C92">
        <v>45</v>
      </c>
      <c r="D92">
        <v>35</v>
      </c>
      <c r="E92">
        <v>4</v>
      </c>
      <c r="F92">
        <v>1</v>
      </c>
      <c r="G92">
        <v>128.57</v>
      </c>
      <c r="H92">
        <v>0</v>
      </c>
      <c r="I92">
        <v>0</v>
      </c>
      <c r="J92">
        <v>0</v>
      </c>
      <c r="K92">
        <v>0</v>
      </c>
    </row>
    <row r="93" spans="1:11" x14ac:dyDescent="0.3">
      <c r="A93" t="s">
        <v>259</v>
      </c>
      <c r="B93" t="s">
        <v>34</v>
      </c>
      <c r="C93">
        <v>58</v>
      </c>
      <c r="D93">
        <v>32</v>
      </c>
      <c r="E93">
        <v>6</v>
      </c>
      <c r="F93">
        <v>3</v>
      </c>
      <c r="G93">
        <v>181.25</v>
      </c>
      <c r="H93">
        <v>0</v>
      </c>
      <c r="I93">
        <v>0</v>
      </c>
      <c r="J93">
        <v>0</v>
      </c>
      <c r="K93">
        <v>0</v>
      </c>
    </row>
    <row r="94" spans="1:11" x14ac:dyDescent="0.3">
      <c r="A94" t="s">
        <v>259</v>
      </c>
      <c r="B94" t="s">
        <v>84</v>
      </c>
      <c r="C94">
        <v>40</v>
      </c>
      <c r="D94">
        <v>28</v>
      </c>
      <c r="E94">
        <v>3</v>
      </c>
      <c r="F94">
        <v>1</v>
      </c>
      <c r="G94">
        <v>142.86000000000001</v>
      </c>
      <c r="H94">
        <v>0</v>
      </c>
      <c r="I94">
        <v>0</v>
      </c>
      <c r="J94">
        <v>0</v>
      </c>
      <c r="K94">
        <v>0</v>
      </c>
    </row>
    <row r="95" spans="1:11" x14ac:dyDescent="0.3">
      <c r="A95" t="s">
        <v>260</v>
      </c>
      <c r="B95" t="s">
        <v>63</v>
      </c>
      <c r="C95">
        <v>34</v>
      </c>
      <c r="D95">
        <v>18</v>
      </c>
      <c r="E95">
        <v>2</v>
      </c>
      <c r="F95">
        <v>3</v>
      </c>
      <c r="G95">
        <v>188.89</v>
      </c>
      <c r="H95">
        <v>4</v>
      </c>
      <c r="I95">
        <v>38</v>
      </c>
      <c r="J95">
        <v>3</v>
      </c>
      <c r="K95">
        <v>9.5</v>
      </c>
    </row>
    <row r="96" spans="1:11" x14ac:dyDescent="0.3">
      <c r="A96" t="s">
        <v>260</v>
      </c>
      <c r="B96" t="s">
        <v>101</v>
      </c>
      <c r="C96">
        <v>0</v>
      </c>
      <c r="D96">
        <v>0</v>
      </c>
      <c r="E96">
        <v>0</v>
      </c>
      <c r="F96">
        <v>0</v>
      </c>
      <c r="G96">
        <v>0</v>
      </c>
      <c r="H96">
        <v>4</v>
      </c>
      <c r="I96">
        <v>30</v>
      </c>
      <c r="J96">
        <v>2</v>
      </c>
      <c r="K96">
        <v>7.5</v>
      </c>
    </row>
    <row r="97" spans="1:11" x14ac:dyDescent="0.3">
      <c r="A97" t="s">
        <v>261</v>
      </c>
      <c r="B97" t="s">
        <v>84</v>
      </c>
      <c r="C97">
        <v>65</v>
      </c>
      <c r="D97">
        <v>40</v>
      </c>
      <c r="E97">
        <v>7</v>
      </c>
      <c r="F97">
        <v>2</v>
      </c>
      <c r="G97">
        <v>162.5</v>
      </c>
      <c r="H97">
        <v>0</v>
      </c>
      <c r="I97">
        <v>0</v>
      </c>
      <c r="J97">
        <v>0</v>
      </c>
      <c r="K97">
        <v>0</v>
      </c>
    </row>
    <row r="98" spans="1:11" x14ac:dyDescent="0.3">
      <c r="A98" t="s">
        <v>261</v>
      </c>
      <c r="B98" t="s">
        <v>16</v>
      </c>
      <c r="C98">
        <v>0</v>
      </c>
      <c r="D98">
        <v>0</v>
      </c>
      <c r="E98">
        <v>0</v>
      </c>
      <c r="F98">
        <v>0</v>
      </c>
      <c r="G98">
        <v>0</v>
      </c>
      <c r="H98">
        <v>3.2</v>
      </c>
      <c r="I98">
        <v>25</v>
      </c>
      <c r="J98">
        <v>3</v>
      </c>
      <c r="K98">
        <v>7.5</v>
      </c>
    </row>
    <row r="99" spans="1:11" x14ac:dyDescent="0.3">
      <c r="A99" t="s">
        <v>262</v>
      </c>
      <c r="B99" t="s">
        <v>95</v>
      </c>
      <c r="C99">
        <v>88</v>
      </c>
      <c r="D99">
        <v>52</v>
      </c>
      <c r="E99">
        <v>8</v>
      </c>
      <c r="F99">
        <v>3</v>
      </c>
      <c r="G99">
        <v>169.23</v>
      </c>
      <c r="H99">
        <v>0</v>
      </c>
      <c r="I99">
        <v>0</v>
      </c>
      <c r="J99">
        <v>0</v>
      </c>
      <c r="K99">
        <v>0</v>
      </c>
    </row>
    <row r="100" spans="1:11" x14ac:dyDescent="0.3">
      <c r="A100" t="s">
        <v>262</v>
      </c>
      <c r="B100" t="s">
        <v>47</v>
      </c>
      <c r="C100">
        <v>5</v>
      </c>
      <c r="D100">
        <v>7</v>
      </c>
      <c r="E100">
        <v>0</v>
      </c>
      <c r="F100">
        <v>0</v>
      </c>
      <c r="G100">
        <v>71.430000000000007</v>
      </c>
      <c r="H100">
        <v>0</v>
      </c>
      <c r="I100">
        <v>0</v>
      </c>
      <c r="J100">
        <v>0</v>
      </c>
      <c r="K100">
        <v>0</v>
      </c>
    </row>
    <row r="101" spans="1:11" x14ac:dyDescent="0.3">
      <c r="A101" t="s">
        <v>263</v>
      </c>
      <c r="B101" t="s">
        <v>66</v>
      </c>
      <c r="C101">
        <v>18</v>
      </c>
      <c r="D101">
        <v>10</v>
      </c>
      <c r="E101">
        <v>1</v>
      </c>
      <c r="F101">
        <v>1</v>
      </c>
      <c r="G101">
        <v>180</v>
      </c>
      <c r="H101">
        <v>4</v>
      </c>
      <c r="I101">
        <v>22</v>
      </c>
      <c r="J101">
        <v>2</v>
      </c>
      <c r="K101">
        <v>5.5</v>
      </c>
    </row>
    <row r="102" spans="1:11" x14ac:dyDescent="0.3">
      <c r="A102" t="s">
        <v>263</v>
      </c>
      <c r="B102" t="s">
        <v>81</v>
      </c>
      <c r="C102">
        <v>0</v>
      </c>
      <c r="D102">
        <v>0</v>
      </c>
      <c r="E102">
        <v>0</v>
      </c>
      <c r="F102">
        <v>0</v>
      </c>
      <c r="G102">
        <v>0</v>
      </c>
      <c r="H102">
        <v>4</v>
      </c>
      <c r="I102">
        <v>25</v>
      </c>
      <c r="J102">
        <v>1</v>
      </c>
      <c r="K102">
        <v>6.25</v>
      </c>
    </row>
    <row r="103" spans="1:11" x14ac:dyDescent="0.3">
      <c r="A103" t="s">
        <v>264</v>
      </c>
      <c r="B103" t="s">
        <v>37</v>
      </c>
      <c r="C103">
        <v>0</v>
      </c>
      <c r="D103">
        <v>0</v>
      </c>
      <c r="E103">
        <v>0</v>
      </c>
      <c r="F103">
        <v>0</v>
      </c>
      <c r="G103">
        <v>0</v>
      </c>
      <c r="H103">
        <v>4</v>
      </c>
      <c r="I103">
        <v>24</v>
      </c>
      <c r="J103">
        <v>3</v>
      </c>
      <c r="K103">
        <v>6</v>
      </c>
    </row>
    <row r="104" spans="1:11" x14ac:dyDescent="0.3">
      <c r="A104" t="s">
        <v>264</v>
      </c>
      <c r="B104" t="s">
        <v>31</v>
      </c>
      <c r="C104">
        <v>35</v>
      </c>
      <c r="D104">
        <v>25</v>
      </c>
      <c r="E104">
        <v>2</v>
      </c>
      <c r="F104">
        <v>2</v>
      </c>
      <c r="G104">
        <v>140</v>
      </c>
      <c r="H104">
        <v>0</v>
      </c>
      <c r="I104">
        <v>0</v>
      </c>
      <c r="J104">
        <v>0</v>
      </c>
      <c r="K104">
        <v>0</v>
      </c>
    </row>
    <row r="105" spans="1:11" x14ac:dyDescent="0.3">
      <c r="A105" t="s">
        <v>265</v>
      </c>
      <c r="B105" t="s">
        <v>117</v>
      </c>
      <c r="C105">
        <v>56</v>
      </c>
      <c r="D105">
        <v>28</v>
      </c>
      <c r="E105">
        <v>3</v>
      </c>
      <c r="F105">
        <v>5</v>
      </c>
      <c r="G105">
        <v>200</v>
      </c>
      <c r="H105">
        <v>0</v>
      </c>
      <c r="I105">
        <v>0</v>
      </c>
      <c r="J105">
        <v>0</v>
      </c>
      <c r="K105">
        <v>0</v>
      </c>
    </row>
    <row r="106" spans="1:11" x14ac:dyDescent="0.3">
      <c r="A106" t="s">
        <v>265</v>
      </c>
      <c r="B106" t="s">
        <v>59</v>
      </c>
      <c r="C106">
        <v>22</v>
      </c>
      <c r="D106">
        <v>19</v>
      </c>
      <c r="E106">
        <v>1</v>
      </c>
      <c r="F106">
        <v>0</v>
      </c>
      <c r="G106">
        <v>115.79</v>
      </c>
      <c r="H106">
        <v>0</v>
      </c>
      <c r="I106">
        <v>0</v>
      </c>
      <c r="J106">
        <v>0</v>
      </c>
      <c r="K106">
        <v>0</v>
      </c>
    </row>
    <row r="107" spans="1:11" x14ac:dyDescent="0.3">
      <c r="A107" t="s">
        <v>266</v>
      </c>
      <c r="B107" t="s">
        <v>68</v>
      </c>
      <c r="C107">
        <v>0</v>
      </c>
      <c r="D107">
        <v>0</v>
      </c>
      <c r="E107">
        <v>0</v>
      </c>
      <c r="F107">
        <v>0</v>
      </c>
      <c r="G107">
        <v>0</v>
      </c>
      <c r="H107">
        <v>3.3</v>
      </c>
      <c r="I107">
        <v>19</v>
      </c>
      <c r="J107">
        <v>4</v>
      </c>
      <c r="K107">
        <v>5.43</v>
      </c>
    </row>
    <row r="108" spans="1:11" x14ac:dyDescent="0.3">
      <c r="A108" t="s">
        <v>266</v>
      </c>
      <c r="B108" t="s">
        <v>47</v>
      </c>
      <c r="C108">
        <v>40</v>
      </c>
      <c r="D108">
        <v>30</v>
      </c>
      <c r="E108">
        <v>3</v>
      </c>
      <c r="F108">
        <v>1</v>
      </c>
      <c r="G108">
        <v>133.33000000000001</v>
      </c>
      <c r="H108">
        <v>0</v>
      </c>
      <c r="I108">
        <v>0</v>
      </c>
      <c r="J108">
        <v>0</v>
      </c>
      <c r="K108">
        <v>0</v>
      </c>
    </row>
    <row r="109" spans="1:11" x14ac:dyDescent="0.3">
      <c r="A109" t="s">
        <v>267</v>
      </c>
      <c r="B109" t="s">
        <v>75</v>
      </c>
      <c r="C109">
        <v>0</v>
      </c>
      <c r="D109">
        <v>0</v>
      </c>
      <c r="E109">
        <v>0</v>
      </c>
      <c r="F109">
        <v>0</v>
      </c>
      <c r="G109">
        <v>0</v>
      </c>
      <c r="H109">
        <v>4</v>
      </c>
      <c r="I109">
        <v>17</v>
      </c>
      <c r="J109">
        <v>2</v>
      </c>
      <c r="K109">
        <v>4.25</v>
      </c>
    </row>
    <row r="110" spans="1:11" x14ac:dyDescent="0.3">
      <c r="A110" t="s">
        <v>267</v>
      </c>
      <c r="B110" t="s">
        <v>105</v>
      </c>
      <c r="C110">
        <v>12</v>
      </c>
      <c r="D110">
        <v>14</v>
      </c>
      <c r="E110">
        <v>1</v>
      </c>
      <c r="F110">
        <v>0</v>
      </c>
      <c r="G110">
        <v>85.71</v>
      </c>
      <c r="H110">
        <v>0</v>
      </c>
      <c r="I110">
        <v>0</v>
      </c>
      <c r="J110">
        <v>0</v>
      </c>
      <c r="K110">
        <v>0</v>
      </c>
    </row>
    <row r="111" spans="1:11" x14ac:dyDescent="0.3">
      <c r="A111" t="s">
        <v>268</v>
      </c>
      <c r="B111" t="s">
        <v>98</v>
      </c>
      <c r="C111">
        <v>75</v>
      </c>
      <c r="D111">
        <v>45</v>
      </c>
      <c r="E111">
        <v>5</v>
      </c>
      <c r="F111">
        <v>4</v>
      </c>
      <c r="G111">
        <v>166.67</v>
      </c>
      <c r="H111">
        <v>0</v>
      </c>
      <c r="I111">
        <v>0</v>
      </c>
      <c r="J111">
        <v>0</v>
      </c>
      <c r="K111">
        <v>0</v>
      </c>
    </row>
    <row r="112" spans="1:11" x14ac:dyDescent="0.3">
      <c r="A112" t="s">
        <v>268</v>
      </c>
      <c r="B112" t="s">
        <v>51</v>
      </c>
      <c r="C112">
        <v>25</v>
      </c>
      <c r="D112">
        <v>18</v>
      </c>
      <c r="E112">
        <v>1</v>
      </c>
      <c r="F112">
        <v>1</v>
      </c>
      <c r="G112">
        <v>138.88999999999999</v>
      </c>
      <c r="H112">
        <v>4</v>
      </c>
      <c r="I112">
        <v>35</v>
      </c>
      <c r="J112">
        <v>1</v>
      </c>
      <c r="K112">
        <v>8.75</v>
      </c>
    </row>
    <row r="113" spans="1:11" x14ac:dyDescent="0.3">
      <c r="A113" t="s">
        <v>269</v>
      </c>
      <c r="B113" t="s">
        <v>41</v>
      </c>
      <c r="C113">
        <v>48</v>
      </c>
      <c r="D113">
        <v>32</v>
      </c>
      <c r="E113">
        <v>4</v>
      </c>
      <c r="F113">
        <v>1</v>
      </c>
      <c r="G113">
        <v>150</v>
      </c>
      <c r="H113">
        <v>0</v>
      </c>
      <c r="I113">
        <v>0</v>
      </c>
      <c r="J113">
        <v>0</v>
      </c>
      <c r="K113">
        <v>0</v>
      </c>
    </row>
    <row r="114" spans="1:11" x14ac:dyDescent="0.3">
      <c r="A114" t="s">
        <v>269</v>
      </c>
      <c r="B114" t="s">
        <v>16</v>
      </c>
      <c r="C114">
        <v>0</v>
      </c>
      <c r="D114">
        <v>0</v>
      </c>
      <c r="E114">
        <v>0</v>
      </c>
      <c r="F114">
        <v>0</v>
      </c>
      <c r="G114">
        <v>0</v>
      </c>
      <c r="H114">
        <v>4</v>
      </c>
      <c r="I114">
        <v>30</v>
      </c>
      <c r="J114">
        <v>2</v>
      </c>
      <c r="K114">
        <v>7.5</v>
      </c>
    </row>
    <row r="115" spans="1:11" x14ac:dyDescent="0.3">
      <c r="A115" t="s">
        <v>270</v>
      </c>
      <c r="B115" t="s">
        <v>47</v>
      </c>
      <c r="C115">
        <v>105</v>
      </c>
      <c r="D115">
        <v>60</v>
      </c>
      <c r="E115">
        <v>12</v>
      </c>
      <c r="F115">
        <v>3</v>
      </c>
      <c r="G115">
        <v>175</v>
      </c>
      <c r="H115">
        <v>0</v>
      </c>
      <c r="I115">
        <v>0</v>
      </c>
      <c r="J115">
        <v>0</v>
      </c>
      <c r="K115">
        <v>0</v>
      </c>
    </row>
    <row r="116" spans="1:11" x14ac:dyDescent="0.3">
      <c r="A116" t="s">
        <v>270</v>
      </c>
      <c r="B116" t="s">
        <v>79</v>
      </c>
      <c r="C116">
        <v>0</v>
      </c>
      <c r="D116">
        <v>0</v>
      </c>
      <c r="E116">
        <v>0</v>
      </c>
      <c r="F116">
        <v>0</v>
      </c>
      <c r="G116">
        <v>0</v>
      </c>
      <c r="H116">
        <v>4</v>
      </c>
      <c r="I116">
        <v>40</v>
      </c>
      <c r="J116">
        <v>1</v>
      </c>
      <c r="K116">
        <v>10</v>
      </c>
    </row>
    <row r="117" spans="1:11" x14ac:dyDescent="0.3">
      <c r="A117" t="s">
        <v>271</v>
      </c>
      <c r="B117" t="s">
        <v>8</v>
      </c>
      <c r="C117">
        <v>88</v>
      </c>
      <c r="D117">
        <v>48</v>
      </c>
      <c r="E117">
        <v>9</v>
      </c>
      <c r="F117">
        <v>4</v>
      </c>
      <c r="G117">
        <v>183.33</v>
      </c>
      <c r="H117">
        <v>0</v>
      </c>
      <c r="I117">
        <v>0</v>
      </c>
      <c r="J117">
        <v>0</v>
      </c>
      <c r="K117">
        <v>0</v>
      </c>
    </row>
    <row r="118" spans="1:11" x14ac:dyDescent="0.3">
      <c r="A118" t="s">
        <v>271</v>
      </c>
      <c r="B118" t="s">
        <v>89</v>
      </c>
      <c r="C118">
        <v>0</v>
      </c>
      <c r="D118">
        <v>0</v>
      </c>
      <c r="E118">
        <v>0</v>
      </c>
      <c r="F118">
        <v>0</v>
      </c>
      <c r="G118">
        <v>0</v>
      </c>
      <c r="H118">
        <v>4</v>
      </c>
      <c r="I118">
        <v>30</v>
      </c>
      <c r="J118">
        <v>1</v>
      </c>
      <c r="K118">
        <v>7.5</v>
      </c>
    </row>
    <row r="119" spans="1:11" x14ac:dyDescent="0.3">
      <c r="A119" t="s">
        <v>272</v>
      </c>
      <c r="B119" t="s">
        <v>111</v>
      </c>
      <c r="C119">
        <v>65</v>
      </c>
      <c r="D119">
        <v>40</v>
      </c>
      <c r="E119">
        <v>6</v>
      </c>
      <c r="F119">
        <v>2</v>
      </c>
      <c r="G119">
        <v>162.5</v>
      </c>
      <c r="H119">
        <v>0</v>
      </c>
      <c r="I119">
        <v>0</v>
      </c>
      <c r="J119">
        <v>0</v>
      </c>
      <c r="K119">
        <v>0</v>
      </c>
    </row>
    <row r="120" spans="1:11" x14ac:dyDescent="0.3">
      <c r="A120" t="s">
        <v>272</v>
      </c>
      <c r="B120" t="s">
        <v>59</v>
      </c>
      <c r="C120">
        <v>10</v>
      </c>
      <c r="D120">
        <v>8</v>
      </c>
      <c r="E120">
        <v>0</v>
      </c>
      <c r="F120">
        <v>1</v>
      </c>
      <c r="G120">
        <v>125</v>
      </c>
      <c r="H120">
        <v>0</v>
      </c>
      <c r="I120">
        <v>0</v>
      </c>
      <c r="J120">
        <v>0</v>
      </c>
      <c r="K120">
        <v>0</v>
      </c>
    </row>
    <row r="121" spans="1:11" x14ac:dyDescent="0.3">
      <c r="A121" t="s">
        <v>273</v>
      </c>
      <c r="B121" t="s">
        <v>101</v>
      </c>
      <c r="C121">
        <v>0</v>
      </c>
      <c r="D121">
        <v>0</v>
      </c>
      <c r="E121">
        <v>0</v>
      </c>
      <c r="F121">
        <v>0</v>
      </c>
      <c r="G121">
        <v>0</v>
      </c>
      <c r="H121">
        <v>4</v>
      </c>
      <c r="I121">
        <v>22</v>
      </c>
      <c r="J121">
        <v>3</v>
      </c>
      <c r="K121">
        <v>5.5</v>
      </c>
    </row>
    <row r="122" spans="1:11" x14ac:dyDescent="0.3">
      <c r="A122" t="s">
        <v>273</v>
      </c>
      <c r="B122" t="s">
        <v>21</v>
      </c>
      <c r="C122">
        <v>40</v>
      </c>
      <c r="D122">
        <v>30</v>
      </c>
      <c r="E122">
        <v>4</v>
      </c>
      <c r="F122">
        <v>1</v>
      </c>
      <c r="G122">
        <v>133.33000000000001</v>
      </c>
      <c r="H122">
        <v>0</v>
      </c>
      <c r="I122">
        <v>0</v>
      </c>
      <c r="J122">
        <v>0</v>
      </c>
      <c r="K122">
        <v>0</v>
      </c>
    </row>
    <row r="123" spans="1:11" x14ac:dyDescent="0.3">
      <c r="A123" t="s">
        <v>283</v>
      </c>
      <c r="B123" t="s">
        <v>34</v>
      </c>
      <c r="C123">
        <v>60</v>
      </c>
      <c r="D123">
        <v>35</v>
      </c>
      <c r="E123">
        <v>7</v>
      </c>
      <c r="F123">
        <v>2</v>
      </c>
      <c r="G123">
        <v>171.43</v>
      </c>
      <c r="H123">
        <v>0</v>
      </c>
      <c r="I123">
        <v>0</v>
      </c>
      <c r="J123">
        <v>0</v>
      </c>
      <c r="K123">
        <v>0</v>
      </c>
    </row>
    <row r="124" spans="1:11" x14ac:dyDescent="0.3">
      <c r="A124" t="s">
        <v>284</v>
      </c>
      <c r="B124" t="s">
        <v>119</v>
      </c>
      <c r="C124">
        <v>75</v>
      </c>
      <c r="D124">
        <v>45</v>
      </c>
      <c r="E124">
        <v>8</v>
      </c>
      <c r="F124">
        <v>3</v>
      </c>
      <c r="G124">
        <v>166.67</v>
      </c>
      <c r="H124">
        <v>0</v>
      </c>
      <c r="I124">
        <v>0</v>
      </c>
      <c r="J124">
        <v>0</v>
      </c>
      <c r="K124">
        <v>0</v>
      </c>
    </row>
    <row r="125" spans="1:11" x14ac:dyDescent="0.3">
      <c r="A125" t="s">
        <v>285</v>
      </c>
      <c r="B125" t="s">
        <v>63</v>
      </c>
      <c r="C125">
        <v>45</v>
      </c>
      <c r="D125">
        <v>25</v>
      </c>
      <c r="E125">
        <v>3</v>
      </c>
      <c r="F125">
        <v>4</v>
      </c>
      <c r="G125">
        <v>180</v>
      </c>
      <c r="H125">
        <v>4</v>
      </c>
      <c r="I125">
        <v>35</v>
      </c>
      <c r="J125">
        <v>2</v>
      </c>
      <c r="K125">
        <v>8.75</v>
      </c>
    </row>
    <row r="126" spans="1:11" x14ac:dyDescent="0.3">
      <c r="A126" t="s">
        <v>286</v>
      </c>
      <c r="B126" t="s">
        <v>84</v>
      </c>
      <c r="C126">
        <v>90</v>
      </c>
      <c r="D126">
        <v>50</v>
      </c>
      <c r="E126">
        <v>9</v>
      </c>
      <c r="F126">
        <v>3</v>
      </c>
      <c r="G126">
        <v>180</v>
      </c>
      <c r="H126">
        <v>0</v>
      </c>
      <c r="I126">
        <v>0</v>
      </c>
      <c r="J126">
        <v>0</v>
      </c>
      <c r="K126">
        <v>0</v>
      </c>
    </row>
    <row r="127" spans="1:11" x14ac:dyDescent="0.3">
      <c r="A127" t="s">
        <v>287</v>
      </c>
      <c r="B127" t="s">
        <v>95</v>
      </c>
      <c r="C127">
        <v>50</v>
      </c>
      <c r="D127">
        <v>30</v>
      </c>
      <c r="E127">
        <v>5</v>
      </c>
      <c r="F127">
        <v>2</v>
      </c>
      <c r="G127">
        <v>166.67</v>
      </c>
      <c r="H127">
        <v>0</v>
      </c>
      <c r="I127">
        <v>0</v>
      </c>
      <c r="J127">
        <v>0</v>
      </c>
      <c r="K127">
        <v>0</v>
      </c>
    </row>
    <row r="128" spans="1:11" x14ac:dyDescent="0.3">
      <c r="A128" t="s">
        <v>288</v>
      </c>
      <c r="B128" t="s">
        <v>66</v>
      </c>
      <c r="C128">
        <v>25</v>
      </c>
      <c r="D128">
        <v>15</v>
      </c>
      <c r="E128">
        <v>2</v>
      </c>
      <c r="F128">
        <v>2</v>
      </c>
      <c r="G128">
        <v>166.67</v>
      </c>
      <c r="H128">
        <v>4</v>
      </c>
      <c r="I128">
        <v>20</v>
      </c>
      <c r="J128">
        <v>3</v>
      </c>
      <c r="K128">
        <v>5</v>
      </c>
    </row>
    <row r="129" spans="1:11" x14ac:dyDescent="0.3">
      <c r="A129" t="s">
        <v>289</v>
      </c>
      <c r="B129" t="s">
        <v>37</v>
      </c>
      <c r="C129">
        <v>0</v>
      </c>
      <c r="D129">
        <v>0</v>
      </c>
      <c r="E129">
        <v>0</v>
      </c>
      <c r="F129">
        <v>0</v>
      </c>
      <c r="G129">
        <v>0</v>
      </c>
      <c r="H129">
        <v>4</v>
      </c>
      <c r="I129">
        <v>25</v>
      </c>
      <c r="J129">
        <v>3</v>
      </c>
      <c r="K129">
        <v>6.25</v>
      </c>
    </row>
    <row r="130" spans="1:11" x14ac:dyDescent="0.3">
      <c r="A130" t="s">
        <v>290</v>
      </c>
      <c r="B130" t="s">
        <v>117</v>
      </c>
      <c r="C130">
        <v>40</v>
      </c>
      <c r="D130">
        <v>20</v>
      </c>
      <c r="E130">
        <v>4</v>
      </c>
      <c r="F130">
        <v>3</v>
      </c>
      <c r="G130">
        <v>200</v>
      </c>
      <c r="H130">
        <v>0</v>
      </c>
      <c r="I130">
        <v>0</v>
      </c>
      <c r="J130">
        <v>0</v>
      </c>
      <c r="K130">
        <v>0</v>
      </c>
    </row>
    <row r="131" spans="1:11" x14ac:dyDescent="0.3">
      <c r="A131" t="s">
        <v>291</v>
      </c>
      <c r="B131" t="s">
        <v>68</v>
      </c>
      <c r="C131">
        <v>0</v>
      </c>
      <c r="D131">
        <v>0</v>
      </c>
      <c r="E131">
        <v>0</v>
      </c>
      <c r="F131">
        <v>0</v>
      </c>
      <c r="G131">
        <v>0</v>
      </c>
      <c r="H131">
        <v>4</v>
      </c>
      <c r="I131">
        <v>22</v>
      </c>
      <c r="J131">
        <v>3</v>
      </c>
      <c r="K131">
        <v>5.5</v>
      </c>
    </row>
    <row r="132" spans="1:11" x14ac:dyDescent="0.3">
      <c r="A132" t="s">
        <v>292</v>
      </c>
      <c r="B132" t="s">
        <v>75</v>
      </c>
      <c r="C132">
        <v>0</v>
      </c>
      <c r="D132">
        <v>0</v>
      </c>
      <c r="E132">
        <v>0</v>
      </c>
      <c r="F132">
        <v>0</v>
      </c>
      <c r="G132">
        <v>0</v>
      </c>
      <c r="H132">
        <v>4</v>
      </c>
      <c r="I132">
        <v>15</v>
      </c>
      <c r="J132">
        <v>2</v>
      </c>
      <c r="K132">
        <v>3.75</v>
      </c>
    </row>
    <row r="133" spans="1:11" x14ac:dyDescent="0.3">
      <c r="A133" t="s">
        <v>293</v>
      </c>
      <c r="B133" t="s">
        <v>98</v>
      </c>
      <c r="C133">
        <v>65</v>
      </c>
      <c r="D133">
        <v>40</v>
      </c>
      <c r="E133">
        <v>6</v>
      </c>
      <c r="F133">
        <v>3</v>
      </c>
      <c r="G133">
        <v>162.5</v>
      </c>
      <c r="H133">
        <v>0</v>
      </c>
      <c r="I133">
        <v>0</v>
      </c>
      <c r="J133">
        <v>0</v>
      </c>
      <c r="K133">
        <v>0</v>
      </c>
    </row>
    <row r="134" spans="1:11" x14ac:dyDescent="0.3">
      <c r="A134" t="s">
        <v>294</v>
      </c>
      <c r="B134" t="s">
        <v>41</v>
      </c>
      <c r="C134">
        <v>55</v>
      </c>
      <c r="D134">
        <v>35</v>
      </c>
      <c r="E134">
        <v>5</v>
      </c>
      <c r="F134">
        <v>2</v>
      </c>
      <c r="G134">
        <v>157.13999999999999</v>
      </c>
      <c r="H134">
        <v>0</v>
      </c>
      <c r="I134">
        <v>0</v>
      </c>
      <c r="J134">
        <v>0</v>
      </c>
      <c r="K134">
        <v>0</v>
      </c>
    </row>
    <row r="135" spans="1:11" x14ac:dyDescent="0.3">
      <c r="A135" t="s">
        <v>295</v>
      </c>
      <c r="B135" t="s">
        <v>47</v>
      </c>
      <c r="C135">
        <v>85</v>
      </c>
      <c r="D135">
        <v>50</v>
      </c>
      <c r="E135">
        <v>8</v>
      </c>
      <c r="F135">
        <v>3</v>
      </c>
      <c r="G135">
        <v>170</v>
      </c>
      <c r="H135">
        <v>0</v>
      </c>
      <c r="I135">
        <v>0</v>
      </c>
      <c r="J135">
        <v>0</v>
      </c>
      <c r="K135">
        <v>0</v>
      </c>
    </row>
    <row r="136" spans="1:11" x14ac:dyDescent="0.3">
      <c r="A136" t="s">
        <v>296</v>
      </c>
      <c r="B136" t="s">
        <v>8</v>
      </c>
      <c r="C136">
        <v>70</v>
      </c>
      <c r="D136">
        <v>45</v>
      </c>
      <c r="E136">
        <v>7</v>
      </c>
      <c r="F136">
        <v>3</v>
      </c>
      <c r="G136">
        <v>155.56</v>
      </c>
      <c r="H136">
        <v>0</v>
      </c>
      <c r="I136">
        <v>0</v>
      </c>
      <c r="J136">
        <v>0</v>
      </c>
      <c r="K136">
        <v>0</v>
      </c>
    </row>
    <row r="137" spans="1:11" x14ac:dyDescent="0.3">
      <c r="A137" t="s">
        <v>297</v>
      </c>
      <c r="B137" t="s">
        <v>111</v>
      </c>
      <c r="C137">
        <v>55</v>
      </c>
      <c r="D137">
        <v>35</v>
      </c>
      <c r="E137">
        <v>5</v>
      </c>
      <c r="F137">
        <v>2</v>
      </c>
      <c r="G137">
        <v>157.13999999999999</v>
      </c>
      <c r="H137">
        <v>0</v>
      </c>
      <c r="I137">
        <v>0</v>
      </c>
      <c r="J137">
        <v>0</v>
      </c>
      <c r="K137">
        <v>0</v>
      </c>
    </row>
    <row r="138" spans="1:11" x14ac:dyDescent="0.3">
      <c r="A138" t="s">
        <v>298</v>
      </c>
      <c r="B138" t="s">
        <v>101</v>
      </c>
      <c r="C138">
        <v>0</v>
      </c>
      <c r="D138">
        <v>0</v>
      </c>
      <c r="E138">
        <v>0</v>
      </c>
      <c r="F138">
        <v>0</v>
      </c>
      <c r="G138">
        <v>0</v>
      </c>
      <c r="H138">
        <v>4</v>
      </c>
      <c r="I138">
        <v>28</v>
      </c>
      <c r="J138">
        <v>3</v>
      </c>
      <c r="K138">
        <v>7</v>
      </c>
    </row>
    <row r="139" spans="1:11" x14ac:dyDescent="0.3">
      <c r="A139" t="s">
        <v>299</v>
      </c>
      <c r="B139" t="s">
        <v>16</v>
      </c>
      <c r="C139">
        <v>0</v>
      </c>
      <c r="D139">
        <v>0</v>
      </c>
      <c r="E139">
        <v>0</v>
      </c>
      <c r="F139">
        <v>0</v>
      </c>
      <c r="G139">
        <v>0</v>
      </c>
      <c r="H139">
        <v>4</v>
      </c>
      <c r="I139">
        <v>25</v>
      </c>
      <c r="J139">
        <v>2</v>
      </c>
      <c r="K139">
        <v>6.25</v>
      </c>
    </row>
    <row r="140" spans="1:11" x14ac:dyDescent="0.3">
      <c r="A140" t="s">
        <v>300</v>
      </c>
      <c r="B140" t="s">
        <v>115</v>
      </c>
      <c r="C140">
        <v>0</v>
      </c>
      <c r="D140">
        <v>0</v>
      </c>
      <c r="E140">
        <v>0</v>
      </c>
      <c r="F140">
        <v>0</v>
      </c>
      <c r="G140">
        <v>0</v>
      </c>
      <c r="H140">
        <v>4</v>
      </c>
      <c r="I140">
        <v>35</v>
      </c>
      <c r="J140">
        <v>1</v>
      </c>
      <c r="K140">
        <v>8.75</v>
      </c>
    </row>
    <row r="141" spans="1:11" x14ac:dyDescent="0.3">
      <c r="A141" t="s">
        <v>301</v>
      </c>
      <c r="B141" t="s">
        <v>47</v>
      </c>
      <c r="C141">
        <v>90</v>
      </c>
      <c r="D141">
        <v>55</v>
      </c>
      <c r="E141">
        <v>9</v>
      </c>
      <c r="F141">
        <v>3</v>
      </c>
      <c r="G141">
        <v>163.63999999999999</v>
      </c>
      <c r="H141">
        <v>0</v>
      </c>
      <c r="I141">
        <v>0</v>
      </c>
      <c r="J141">
        <v>0</v>
      </c>
      <c r="K141">
        <v>0</v>
      </c>
    </row>
    <row r="142" spans="1:11" x14ac:dyDescent="0.3">
      <c r="A142" t="s">
        <v>302</v>
      </c>
      <c r="B142" t="s">
        <v>21</v>
      </c>
      <c r="C142">
        <v>45</v>
      </c>
      <c r="D142">
        <v>30</v>
      </c>
      <c r="E142">
        <v>4</v>
      </c>
      <c r="F142">
        <v>2</v>
      </c>
      <c r="G142">
        <v>150</v>
      </c>
      <c r="H142">
        <v>0</v>
      </c>
      <c r="I142">
        <v>0</v>
      </c>
      <c r="J142">
        <v>0</v>
      </c>
      <c r="K142">
        <v>0</v>
      </c>
    </row>
    <row r="143" spans="1:11" x14ac:dyDescent="0.3">
      <c r="A143" t="s">
        <v>303</v>
      </c>
      <c r="B143" t="s">
        <v>27</v>
      </c>
      <c r="C143">
        <v>50</v>
      </c>
      <c r="D143">
        <v>30</v>
      </c>
      <c r="E143">
        <v>5</v>
      </c>
      <c r="F143">
        <v>2</v>
      </c>
      <c r="G143">
        <v>166.67</v>
      </c>
      <c r="H143">
        <v>0</v>
      </c>
      <c r="I143">
        <v>0</v>
      </c>
      <c r="J143">
        <v>0</v>
      </c>
      <c r="K143">
        <v>0</v>
      </c>
    </row>
    <row r="144" spans="1:11" x14ac:dyDescent="0.3">
      <c r="A144" t="s">
        <v>304</v>
      </c>
      <c r="B144" t="s">
        <v>81</v>
      </c>
      <c r="C144">
        <v>0</v>
      </c>
      <c r="D144">
        <v>0</v>
      </c>
      <c r="E144">
        <v>0</v>
      </c>
      <c r="F144">
        <v>0</v>
      </c>
      <c r="G144">
        <v>0</v>
      </c>
      <c r="H144">
        <v>4</v>
      </c>
      <c r="I144">
        <v>20</v>
      </c>
      <c r="J144">
        <v>3</v>
      </c>
      <c r="K144">
        <v>5</v>
      </c>
    </row>
    <row r="145" spans="1:11" x14ac:dyDescent="0.3">
      <c r="A145" t="s">
        <v>305</v>
      </c>
      <c r="B145" t="s">
        <v>107</v>
      </c>
      <c r="C145">
        <v>0</v>
      </c>
      <c r="D145">
        <v>0</v>
      </c>
      <c r="E145">
        <v>0</v>
      </c>
      <c r="F145">
        <v>0</v>
      </c>
      <c r="G145">
        <v>0</v>
      </c>
      <c r="H145">
        <v>4</v>
      </c>
      <c r="I145">
        <v>22</v>
      </c>
      <c r="J145">
        <v>2</v>
      </c>
      <c r="K145">
        <v>5.5</v>
      </c>
    </row>
    <row r="146" spans="1:11" x14ac:dyDescent="0.3">
      <c r="A146" t="s">
        <v>306</v>
      </c>
      <c r="B146" t="s">
        <v>63</v>
      </c>
      <c r="C146">
        <v>80</v>
      </c>
      <c r="D146">
        <v>40</v>
      </c>
      <c r="E146">
        <v>8</v>
      </c>
      <c r="F146">
        <v>4</v>
      </c>
      <c r="G146">
        <v>200</v>
      </c>
      <c r="H146">
        <v>4</v>
      </c>
      <c r="I146">
        <v>30</v>
      </c>
      <c r="J146">
        <v>1</v>
      </c>
      <c r="K146">
        <v>7.5</v>
      </c>
    </row>
    <row r="147" spans="1:11" x14ac:dyDescent="0.3">
      <c r="A147" t="s">
        <v>307</v>
      </c>
      <c r="B147" t="s">
        <v>117</v>
      </c>
      <c r="C147">
        <v>65</v>
      </c>
      <c r="D147">
        <v>35</v>
      </c>
      <c r="E147">
        <v>6</v>
      </c>
      <c r="F147">
        <v>4</v>
      </c>
      <c r="G147">
        <v>185.71</v>
      </c>
      <c r="H147">
        <v>0</v>
      </c>
      <c r="I147">
        <v>0</v>
      </c>
      <c r="J147">
        <v>0</v>
      </c>
      <c r="K147">
        <v>0</v>
      </c>
    </row>
    <row r="148" spans="1:11" x14ac:dyDescent="0.3">
      <c r="A148" t="s">
        <v>308</v>
      </c>
      <c r="B148" t="s">
        <v>31</v>
      </c>
      <c r="C148">
        <v>40</v>
      </c>
      <c r="D148">
        <v>25</v>
      </c>
      <c r="E148">
        <v>3</v>
      </c>
      <c r="F148">
        <v>2</v>
      </c>
      <c r="G148">
        <v>160</v>
      </c>
      <c r="H148">
        <v>4</v>
      </c>
      <c r="I148">
        <v>30</v>
      </c>
      <c r="J148">
        <v>2</v>
      </c>
      <c r="K148">
        <v>7.5</v>
      </c>
    </row>
    <row r="149" spans="1:11" x14ac:dyDescent="0.3">
      <c r="A149" t="s">
        <v>309</v>
      </c>
      <c r="B149" t="s">
        <v>91</v>
      </c>
      <c r="C149">
        <v>0</v>
      </c>
      <c r="D149">
        <v>0</v>
      </c>
      <c r="E149">
        <v>0</v>
      </c>
      <c r="F149">
        <v>0</v>
      </c>
      <c r="G149">
        <v>0</v>
      </c>
      <c r="H149">
        <v>3.5</v>
      </c>
      <c r="I149">
        <v>15</v>
      </c>
      <c r="J149">
        <v>3</v>
      </c>
      <c r="K149">
        <v>3.86</v>
      </c>
    </row>
    <row r="150" spans="1:11" x14ac:dyDescent="0.3">
      <c r="A150" t="s">
        <v>310</v>
      </c>
      <c r="B150" t="s">
        <v>79</v>
      </c>
      <c r="C150">
        <v>55</v>
      </c>
      <c r="D150">
        <v>30</v>
      </c>
      <c r="E150">
        <v>5</v>
      </c>
      <c r="F150">
        <v>3</v>
      </c>
      <c r="G150">
        <v>183.33</v>
      </c>
      <c r="H150">
        <v>0</v>
      </c>
      <c r="I150">
        <v>0</v>
      </c>
      <c r="J150">
        <v>0</v>
      </c>
      <c r="K150">
        <v>0</v>
      </c>
    </row>
    <row r="151" spans="1:11" x14ac:dyDescent="0.3">
      <c r="A151" t="s">
        <v>311</v>
      </c>
      <c r="B151" t="s">
        <v>47</v>
      </c>
      <c r="C151">
        <v>70</v>
      </c>
      <c r="D151">
        <v>40</v>
      </c>
      <c r="E151">
        <v>7</v>
      </c>
      <c r="F151">
        <v>3</v>
      </c>
      <c r="G151">
        <v>175</v>
      </c>
      <c r="H151">
        <v>0</v>
      </c>
      <c r="I151">
        <v>0</v>
      </c>
      <c r="J151">
        <v>0</v>
      </c>
      <c r="K151">
        <v>0</v>
      </c>
    </row>
    <row r="152" spans="1:11" x14ac:dyDescent="0.3">
      <c r="A152" t="s">
        <v>312</v>
      </c>
      <c r="B152" t="s">
        <v>95</v>
      </c>
      <c r="C152">
        <v>60</v>
      </c>
      <c r="D152">
        <v>40</v>
      </c>
      <c r="E152">
        <v>6</v>
      </c>
      <c r="F152">
        <v>2</v>
      </c>
      <c r="G152">
        <v>150</v>
      </c>
      <c r="H152">
        <v>0</v>
      </c>
      <c r="I152">
        <v>0</v>
      </c>
      <c r="J152">
        <v>0</v>
      </c>
      <c r="K152">
        <v>0</v>
      </c>
    </row>
    <row r="153" spans="1:11" x14ac:dyDescent="0.3">
      <c r="A153" t="s">
        <v>313</v>
      </c>
      <c r="B153" t="s">
        <v>111</v>
      </c>
      <c r="C153">
        <v>80</v>
      </c>
      <c r="D153">
        <v>45</v>
      </c>
      <c r="E153">
        <v>8</v>
      </c>
      <c r="F153">
        <v>3</v>
      </c>
      <c r="G153">
        <v>177.78</v>
      </c>
      <c r="H153">
        <v>0</v>
      </c>
      <c r="I153">
        <v>0</v>
      </c>
      <c r="J153">
        <v>0</v>
      </c>
      <c r="K153">
        <v>0</v>
      </c>
    </row>
    <row r="154" spans="1:11" x14ac:dyDescent="0.3">
      <c r="A154" t="s">
        <v>314</v>
      </c>
      <c r="B154" t="s">
        <v>16</v>
      </c>
      <c r="C154">
        <v>0</v>
      </c>
      <c r="D154">
        <v>0</v>
      </c>
      <c r="E154">
        <v>0</v>
      </c>
      <c r="F154">
        <v>0</v>
      </c>
      <c r="G154">
        <v>0</v>
      </c>
      <c r="H154">
        <v>4</v>
      </c>
      <c r="I154">
        <v>28</v>
      </c>
      <c r="J154">
        <v>3</v>
      </c>
      <c r="K154">
        <v>7</v>
      </c>
    </row>
    <row r="155" spans="1:11" x14ac:dyDescent="0.3">
      <c r="A155" t="s">
        <v>315</v>
      </c>
      <c r="B155" t="s">
        <v>51</v>
      </c>
      <c r="C155">
        <v>0</v>
      </c>
      <c r="D155">
        <v>0</v>
      </c>
      <c r="E155">
        <v>0</v>
      </c>
      <c r="F155">
        <v>0</v>
      </c>
      <c r="G155">
        <v>0</v>
      </c>
      <c r="H155">
        <v>4</v>
      </c>
      <c r="I155">
        <v>30</v>
      </c>
      <c r="J155">
        <v>2</v>
      </c>
      <c r="K155">
        <v>7.5</v>
      </c>
    </row>
    <row r="156" spans="1:11" x14ac:dyDescent="0.3">
      <c r="A156" t="s">
        <v>316</v>
      </c>
      <c r="B156" t="s">
        <v>21</v>
      </c>
      <c r="C156">
        <v>50</v>
      </c>
      <c r="D156">
        <v>35</v>
      </c>
      <c r="E156">
        <v>5</v>
      </c>
      <c r="F156">
        <v>2</v>
      </c>
      <c r="G156">
        <v>142.86000000000001</v>
      </c>
      <c r="H156">
        <v>0</v>
      </c>
      <c r="I156">
        <v>0</v>
      </c>
      <c r="J156">
        <v>0</v>
      </c>
      <c r="K156">
        <v>0</v>
      </c>
    </row>
    <row r="157" spans="1:11" x14ac:dyDescent="0.3">
      <c r="A157" t="s">
        <v>317</v>
      </c>
      <c r="B157" t="s">
        <v>119</v>
      </c>
      <c r="C157">
        <v>60</v>
      </c>
      <c r="D157">
        <v>40</v>
      </c>
      <c r="E157">
        <v>6</v>
      </c>
      <c r="F157">
        <v>2</v>
      </c>
      <c r="G157">
        <v>150</v>
      </c>
      <c r="H157">
        <v>0</v>
      </c>
      <c r="I157">
        <v>0</v>
      </c>
      <c r="J157">
        <v>0</v>
      </c>
      <c r="K157">
        <v>0</v>
      </c>
    </row>
    <row r="158" spans="1:11" x14ac:dyDescent="0.3">
      <c r="A158" t="s">
        <v>318</v>
      </c>
      <c r="B158" t="s">
        <v>59</v>
      </c>
      <c r="C158">
        <v>50</v>
      </c>
      <c r="D158">
        <v>30</v>
      </c>
      <c r="E158">
        <v>5</v>
      </c>
      <c r="F158">
        <v>2</v>
      </c>
      <c r="G158">
        <v>166.67</v>
      </c>
      <c r="H158">
        <v>0</v>
      </c>
      <c r="I158">
        <v>0</v>
      </c>
      <c r="J158">
        <v>0</v>
      </c>
      <c r="K158">
        <v>0</v>
      </c>
    </row>
    <row r="159" spans="1:11" x14ac:dyDescent="0.3">
      <c r="A159" t="s">
        <v>319</v>
      </c>
      <c r="B159" t="s">
        <v>34</v>
      </c>
      <c r="C159">
        <v>70</v>
      </c>
      <c r="D159">
        <v>40</v>
      </c>
      <c r="E159">
        <v>7</v>
      </c>
      <c r="F159">
        <v>3</v>
      </c>
      <c r="G159">
        <v>175</v>
      </c>
      <c r="H159">
        <v>0</v>
      </c>
      <c r="I159">
        <v>0</v>
      </c>
      <c r="J159">
        <v>0</v>
      </c>
      <c r="K159">
        <v>0</v>
      </c>
    </row>
    <row r="160" spans="1:11" x14ac:dyDescent="0.3">
      <c r="A160" t="s">
        <v>320</v>
      </c>
      <c r="B160" t="s">
        <v>84</v>
      </c>
      <c r="C160">
        <v>55</v>
      </c>
      <c r="D160">
        <v>35</v>
      </c>
      <c r="E160">
        <v>5</v>
      </c>
      <c r="F160">
        <v>2</v>
      </c>
      <c r="G160">
        <v>157.13999999999999</v>
      </c>
      <c r="H160">
        <v>0</v>
      </c>
      <c r="I160">
        <v>0</v>
      </c>
      <c r="J160">
        <v>0</v>
      </c>
      <c r="K160">
        <v>0</v>
      </c>
    </row>
    <row r="161" spans="1:11" x14ac:dyDescent="0.3">
      <c r="A161" t="s">
        <v>321</v>
      </c>
      <c r="B161" t="s">
        <v>63</v>
      </c>
      <c r="C161">
        <v>60</v>
      </c>
      <c r="D161">
        <v>30</v>
      </c>
      <c r="E161">
        <v>6</v>
      </c>
      <c r="F161">
        <v>4</v>
      </c>
      <c r="G161">
        <v>200</v>
      </c>
      <c r="H161">
        <v>4</v>
      </c>
      <c r="I161">
        <v>40</v>
      </c>
      <c r="J161">
        <v>1</v>
      </c>
      <c r="K161">
        <v>10</v>
      </c>
    </row>
    <row r="162" spans="1:11" x14ac:dyDescent="0.3">
      <c r="A162" t="s">
        <v>322</v>
      </c>
      <c r="B162" t="s">
        <v>101</v>
      </c>
      <c r="C162">
        <v>0</v>
      </c>
      <c r="D162">
        <v>0</v>
      </c>
      <c r="E162">
        <v>0</v>
      </c>
      <c r="F162">
        <v>0</v>
      </c>
      <c r="G162">
        <v>0</v>
      </c>
      <c r="H162">
        <v>4</v>
      </c>
      <c r="I162">
        <v>32</v>
      </c>
      <c r="J162">
        <v>2</v>
      </c>
      <c r="K162">
        <v>8</v>
      </c>
    </row>
    <row r="163" spans="1:11" x14ac:dyDescent="0.3">
      <c r="A163" t="s">
        <v>323</v>
      </c>
      <c r="B163" t="s">
        <v>84</v>
      </c>
      <c r="C163">
        <v>85</v>
      </c>
      <c r="D163">
        <v>45</v>
      </c>
      <c r="E163">
        <v>8</v>
      </c>
      <c r="F163">
        <v>4</v>
      </c>
      <c r="G163">
        <v>188.89</v>
      </c>
      <c r="H163">
        <v>0</v>
      </c>
      <c r="I163">
        <v>0</v>
      </c>
      <c r="J163">
        <v>0</v>
      </c>
      <c r="K163">
        <v>0</v>
      </c>
    </row>
    <row r="164" spans="1:11" x14ac:dyDescent="0.3">
      <c r="A164" t="s">
        <v>324</v>
      </c>
      <c r="B164" t="s">
        <v>16</v>
      </c>
      <c r="C164">
        <v>0</v>
      </c>
      <c r="D164">
        <v>0</v>
      </c>
      <c r="E164">
        <v>0</v>
      </c>
      <c r="F164">
        <v>0</v>
      </c>
      <c r="G164">
        <v>0</v>
      </c>
      <c r="H164">
        <v>4</v>
      </c>
      <c r="I164">
        <v>25</v>
      </c>
      <c r="J164">
        <v>3</v>
      </c>
      <c r="K164">
        <v>6.25</v>
      </c>
    </row>
    <row r="165" spans="1:11" x14ac:dyDescent="0.3">
      <c r="A165" t="s">
        <v>325</v>
      </c>
      <c r="B165" t="s">
        <v>95</v>
      </c>
      <c r="C165">
        <v>75</v>
      </c>
      <c r="D165">
        <v>40</v>
      </c>
      <c r="E165">
        <v>7</v>
      </c>
      <c r="F165">
        <v>3</v>
      </c>
      <c r="G165">
        <v>187.5</v>
      </c>
      <c r="H165">
        <v>0</v>
      </c>
      <c r="I165">
        <v>0</v>
      </c>
      <c r="J165">
        <v>0</v>
      </c>
      <c r="K165">
        <v>0</v>
      </c>
    </row>
    <row r="166" spans="1:11" x14ac:dyDescent="0.3">
      <c r="A166" t="s">
        <v>326</v>
      </c>
      <c r="B166" t="s">
        <v>47</v>
      </c>
      <c r="C166">
        <v>50</v>
      </c>
      <c r="D166">
        <v>30</v>
      </c>
      <c r="E166">
        <v>5</v>
      </c>
      <c r="F166">
        <v>2</v>
      </c>
      <c r="G166">
        <v>166.67</v>
      </c>
      <c r="H166">
        <v>0</v>
      </c>
      <c r="I166">
        <v>0</v>
      </c>
      <c r="J166">
        <v>0</v>
      </c>
      <c r="K166">
        <v>0</v>
      </c>
    </row>
    <row r="167" spans="1:11" x14ac:dyDescent="0.3">
      <c r="A167" t="s">
        <v>327</v>
      </c>
      <c r="B167" t="s">
        <v>66</v>
      </c>
      <c r="C167">
        <v>30</v>
      </c>
      <c r="D167">
        <v>15</v>
      </c>
      <c r="E167">
        <v>3</v>
      </c>
      <c r="F167">
        <v>2</v>
      </c>
      <c r="G167">
        <v>200</v>
      </c>
      <c r="H167">
        <v>4</v>
      </c>
      <c r="I167">
        <v>28</v>
      </c>
      <c r="J167">
        <v>2</v>
      </c>
      <c r="K167">
        <v>7</v>
      </c>
    </row>
    <row r="168" spans="1:11" x14ac:dyDescent="0.3">
      <c r="A168" t="s">
        <v>328</v>
      </c>
      <c r="B168" t="s">
        <v>81</v>
      </c>
      <c r="C168">
        <v>0</v>
      </c>
      <c r="D168">
        <v>0</v>
      </c>
      <c r="E168">
        <v>0</v>
      </c>
      <c r="F168">
        <v>0</v>
      </c>
      <c r="G168">
        <v>0</v>
      </c>
      <c r="H168">
        <v>4</v>
      </c>
      <c r="I168">
        <v>22</v>
      </c>
      <c r="J168">
        <v>2</v>
      </c>
      <c r="K168">
        <v>5.5</v>
      </c>
    </row>
    <row r="169" spans="1:11" x14ac:dyDescent="0.3">
      <c r="A169" t="s">
        <v>329</v>
      </c>
      <c r="B169" t="s">
        <v>37</v>
      </c>
      <c r="C169">
        <v>0</v>
      </c>
      <c r="D169">
        <v>0</v>
      </c>
      <c r="E169">
        <v>0</v>
      </c>
      <c r="F169">
        <v>0</v>
      </c>
      <c r="G169">
        <v>0</v>
      </c>
      <c r="H169">
        <v>4</v>
      </c>
      <c r="I169">
        <v>30</v>
      </c>
      <c r="J169">
        <v>2</v>
      </c>
      <c r="K169">
        <v>7.5</v>
      </c>
    </row>
    <row r="170" spans="1:11" x14ac:dyDescent="0.3">
      <c r="A170" t="s">
        <v>330</v>
      </c>
      <c r="B170" t="s">
        <v>98</v>
      </c>
      <c r="C170">
        <v>45</v>
      </c>
      <c r="D170">
        <v>30</v>
      </c>
      <c r="E170">
        <v>4</v>
      </c>
      <c r="F170">
        <v>2</v>
      </c>
      <c r="G170">
        <v>150</v>
      </c>
      <c r="H170">
        <v>0</v>
      </c>
      <c r="I170">
        <v>0</v>
      </c>
      <c r="J170">
        <v>0</v>
      </c>
      <c r="K170">
        <v>0</v>
      </c>
    </row>
    <row r="171" spans="1:11" x14ac:dyDescent="0.3">
      <c r="A171" t="s">
        <v>331</v>
      </c>
      <c r="B171" t="s">
        <v>117</v>
      </c>
      <c r="C171">
        <v>75</v>
      </c>
      <c r="D171">
        <v>40</v>
      </c>
      <c r="E171">
        <v>7</v>
      </c>
      <c r="F171">
        <v>4</v>
      </c>
      <c r="G171">
        <v>187.5</v>
      </c>
      <c r="H171">
        <v>0</v>
      </c>
      <c r="I171">
        <v>0</v>
      </c>
      <c r="J171">
        <v>0</v>
      </c>
      <c r="K171">
        <v>0</v>
      </c>
    </row>
    <row r="172" spans="1:11" x14ac:dyDescent="0.3">
      <c r="A172" t="s">
        <v>332</v>
      </c>
      <c r="B172" t="s">
        <v>31</v>
      </c>
      <c r="C172">
        <v>50</v>
      </c>
      <c r="D172">
        <v>30</v>
      </c>
      <c r="E172">
        <v>5</v>
      </c>
      <c r="F172">
        <v>2</v>
      </c>
      <c r="G172">
        <v>166.67</v>
      </c>
      <c r="H172">
        <v>4</v>
      </c>
      <c r="I172">
        <v>35</v>
      </c>
      <c r="J172">
        <v>1</v>
      </c>
      <c r="K172">
        <v>8.75</v>
      </c>
    </row>
    <row r="173" spans="1:11" x14ac:dyDescent="0.3">
      <c r="A173" t="s">
        <v>333</v>
      </c>
      <c r="B173" t="s">
        <v>91</v>
      </c>
      <c r="C173">
        <v>0</v>
      </c>
      <c r="D173">
        <v>0</v>
      </c>
      <c r="E173">
        <v>0</v>
      </c>
      <c r="F173">
        <v>0</v>
      </c>
      <c r="G173">
        <v>0</v>
      </c>
      <c r="H173">
        <v>4</v>
      </c>
      <c r="I173">
        <v>22</v>
      </c>
      <c r="J173">
        <v>3</v>
      </c>
      <c r="K173">
        <v>5.5</v>
      </c>
    </row>
    <row r="174" spans="1:11" x14ac:dyDescent="0.3">
      <c r="A174" t="s">
        <v>334</v>
      </c>
      <c r="B174" t="s">
        <v>119</v>
      </c>
      <c r="C174">
        <v>40</v>
      </c>
      <c r="D174">
        <v>25</v>
      </c>
      <c r="E174">
        <v>4</v>
      </c>
      <c r="F174">
        <v>1</v>
      </c>
      <c r="G174">
        <v>160</v>
      </c>
      <c r="H174">
        <v>0</v>
      </c>
      <c r="I174">
        <v>0</v>
      </c>
      <c r="J174">
        <v>0</v>
      </c>
      <c r="K174">
        <v>0</v>
      </c>
    </row>
    <row r="175" spans="1:11" x14ac:dyDescent="0.3">
      <c r="A175" t="s">
        <v>335</v>
      </c>
      <c r="B175" t="s">
        <v>47</v>
      </c>
      <c r="C175">
        <v>70</v>
      </c>
      <c r="D175">
        <v>45</v>
      </c>
      <c r="E175">
        <v>7</v>
      </c>
      <c r="F175">
        <v>2</v>
      </c>
      <c r="G175">
        <v>155.56</v>
      </c>
      <c r="H175">
        <v>0</v>
      </c>
      <c r="I175">
        <v>0</v>
      </c>
      <c r="J175">
        <v>0</v>
      </c>
      <c r="K175">
        <v>0</v>
      </c>
    </row>
    <row r="176" spans="1:11" x14ac:dyDescent="0.3">
      <c r="A176" t="s">
        <v>336</v>
      </c>
      <c r="B176" t="s">
        <v>66</v>
      </c>
      <c r="C176">
        <v>20</v>
      </c>
      <c r="D176">
        <v>10</v>
      </c>
      <c r="E176">
        <v>2</v>
      </c>
      <c r="F176">
        <v>1</v>
      </c>
      <c r="G176">
        <v>200</v>
      </c>
      <c r="H176">
        <v>4</v>
      </c>
      <c r="I176">
        <v>25</v>
      </c>
      <c r="J176">
        <v>3</v>
      </c>
      <c r="K176">
        <v>6.25</v>
      </c>
    </row>
    <row r="177" spans="1:11" x14ac:dyDescent="0.3">
      <c r="A177" t="s">
        <v>337</v>
      </c>
      <c r="B177" t="s">
        <v>79</v>
      </c>
      <c r="C177">
        <v>60</v>
      </c>
      <c r="D177">
        <v>35</v>
      </c>
      <c r="E177">
        <v>6</v>
      </c>
      <c r="F177">
        <v>3</v>
      </c>
      <c r="G177">
        <v>171.43</v>
      </c>
      <c r="H177">
        <v>0</v>
      </c>
      <c r="I177">
        <v>0</v>
      </c>
      <c r="J177">
        <v>0</v>
      </c>
      <c r="K177">
        <v>0</v>
      </c>
    </row>
    <row r="178" spans="1:11" x14ac:dyDescent="0.3">
      <c r="A178" t="s">
        <v>338</v>
      </c>
      <c r="B178" t="s">
        <v>75</v>
      </c>
      <c r="C178">
        <v>0</v>
      </c>
      <c r="D178">
        <v>0</v>
      </c>
      <c r="E178">
        <v>0</v>
      </c>
      <c r="F178">
        <v>0</v>
      </c>
      <c r="G178">
        <v>0</v>
      </c>
      <c r="H178">
        <v>4</v>
      </c>
      <c r="I178">
        <v>18</v>
      </c>
      <c r="J178">
        <v>3</v>
      </c>
      <c r="K178">
        <v>4.5</v>
      </c>
    </row>
    <row r="179" spans="1:11" x14ac:dyDescent="0.3">
      <c r="A179" t="s">
        <v>339</v>
      </c>
      <c r="B179" t="s">
        <v>34</v>
      </c>
      <c r="C179">
        <v>80</v>
      </c>
      <c r="D179">
        <v>45</v>
      </c>
      <c r="E179">
        <v>8</v>
      </c>
      <c r="F179">
        <v>4</v>
      </c>
      <c r="G179">
        <v>177.78</v>
      </c>
      <c r="H179">
        <v>0</v>
      </c>
      <c r="I179">
        <v>0</v>
      </c>
      <c r="J179">
        <v>0</v>
      </c>
      <c r="K179">
        <v>0</v>
      </c>
    </row>
    <row r="180" spans="1:11" x14ac:dyDescent="0.3">
      <c r="A180" t="s">
        <v>340</v>
      </c>
      <c r="B180" t="s">
        <v>89</v>
      </c>
      <c r="C180">
        <v>0</v>
      </c>
      <c r="D180">
        <v>0</v>
      </c>
      <c r="E180">
        <v>0</v>
      </c>
      <c r="F180">
        <v>0</v>
      </c>
      <c r="G180">
        <v>0</v>
      </c>
      <c r="H180">
        <v>4</v>
      </c>
      <c r="I180">
        <v>30</v>
      </c>
      <c r="J180">
        <v>2</v>
      </c>
      <c r="K180">
        <v>7.5</v>
      </c>
    </row>
    <row r="181" spans="1:11" x14ac:dyDescent="0.3">
      <c r="A181" t="s">
        <v>341</v>
      </c>
      <c r="B181" t="s">
        <v>53</v>
      </c>
      <c r="C181">
        <v>50</v>
      </c>
      <c r="D181">
        <v>25</v>
      </c>
      <c r="E181">
        <v>5</v>
      </c>
      <c r="F181">
        <v>3</v>
      </c>
      <c r="G181">
        <v>200</v>
      </c>
      <c r="H181">
        <v>0</v>
      </c>
      <c r="I181">
        <v>0</v>
      </c>
      <c r="J181">
        <v>0</v>
      </c>
      <c r="K181">
        <v>0</v>
      </c>
    </row>
    <row r="182" spans="1:11" x14ac:dyDescent="0.3">
      <c r="A182" t="s">
        <v>342</v>
      </c>
      <c r="B182" t="s">
        <v>68</v>
      </c>
      <c r="C182">
        <v>0</v>
      </c>
      <c r="D182">
        <v>0</v>
      </c>
      <c r="E182">
        <v>0</v>
      </c>
      <c r="F182">
        <v>0</v>
      </c>
      <c r="G182">
        <v>0</v>
      </c>
      <c r="H182">
        <v>4</v>
      </c>
      <c r="I182">
        <v>28</v>
      </c>
      <c r="J182">
        <v>2</v>
      </c>
      <c r="K182">
        <v>7</v>
      </c>
    </row>
    <row r="183" spans="1:11" x14ac:dyDescent="0.3">
      <c r="A183" t="s">
        <v>343</v>
      </c>
      <c r="B183" t="s">
        <v>95</v>
      </c>
      <c r="C183">
        <v>70</v>
      </c>
      <c r="D183">
        <v>40</v>
      </c>
      <c r="E183">
        <v>7</v>
      </c>
      <c r="F183">
        <v>3</v>
      </c>
      <c r="G183">
        <v>175</v>
      </c>
      <c r="H183">
        <v>0</v>
      </c>
      <c r="I183">
        <v>0</v>
      </c>
      <c r="J183">
        <v>0</v>
      </c>
      <c r="K183">
        <v>0</v>
      </c>
    </row>
    <row r="184" spans="1:11" x14ac:dyDescent="0.3">
      <c r="A184" t="s">
        <v>344</v>
      </c>
      <c r="B184" t="s">
        <v>107</v>
      </c>
      <c r="C184">
        <v>0</v>
      </c>
      <c r="D184">
        <v>0</v>
      </c>
      <c r="E184">
        <v>0</v>
      </c>
      <c r="F184">
        <v>0</v>
      </c>
      <c r="G184">
        <v>0</v>
      </c>
      <c r="H184">
        <v>4</v>
      </c>
      <c r="I184">
        <v>35</v>
      </c>
      <c r="J184">
        <v>1</v>
      </c>
      <c r="K184">
        <v>8.75</v>
      </c>
    </row>
    <row r="185" spans="1:11" x14ac:dyDescent="0.3">
      <c r="A185" t="s">
        <v>345</v>
      </c>
      <c r="B185" t="s">
        <v>111</v>
      </c>
      <c r="C185">
        <v>85</v>
      </c>
      <c r="D185">
        <v>50</v>
      </c>
      <c r="E185">
        <v>8</v>
      </c>
      <c r="F185">
        <v>4</v>
      </c>
      <c r="G185">
        <v>170</v>
      </c>
      <c r="H185">
        <v>0</v>
      </c>
      <c r="I185">
        <v>0</v>
      </c>
      <c r="J185">
        <v>0</v>
      </c>
      <c r="K185">
        <v>0</v>
      </c>
    </row>
    <row r="186" spans="1:11" x14ac:dyDescent="0.3">
      <c r="A186" t="s">
        <v>346</v>
      </c>
      <c r="B186" t="s">
        <v>16</v>
      </c>
      <c r="C186">
        <v>0</v>
      </c>
      <c r="D186">
        <v>0</v>
      </c>
      <c r="E186">
        <v>0</v>
      </c>
      <c r="F186">
        <v>0</v>
      </c>
      <c r="G186">
        <v>0</v>
      </c>
      <c r="H186">
        <v>4</v>
      </c>
      <c r="I186">
        <v>22</v>
      </c>
      <c r="J186">
        <v>3</v>
      </c>
      <c r="K186">
        <v>5.5</v>
      </c>
    </row>
    <row r="187" spans="1:11" x14ac:dyDescent="0.3">
      <c r="A187" t="s">
        <v>347</v>
      </c>
      <c r="B187" t="s">
        <v>51</v>
      </c>
      <c r="C187">
        <v>0</v>
      </c>
      <c r="D187">
        <v>0</v>
      </c>
      <c r="E187">
        <v>0</v>
      </c>
      <c r="F187">
        <v>0</v>
      </c>
      <c r="G187">
        <v>0</v>
      </c>
      <c r="H187">
        <v>4</v>
      </c>
      <c r="I187">
        <v>30</v>
      </c>
      <c r="J187">
        <v>2</v>
      </c>
      <c r="K187">
        <v>7.5</v>
      </c>
    </row>
    <row r="188" spans="1:11" x14ac:dyDescent="0.3">
      <c r="A188" t="s">
        <v>348</v>
      </c>
      <c r="B188" t="s">
        <v>21</v>
      </c>
      <c r="C188">
        <v>60</v>
      </c>
      <c r="D188">
        <v>35</v>
      </c>
      <c r="E188">
        <v>6</v>
      </c>
      <c r="F188">
        <v>2</v>
      </c>
      <c r="G188">
        <v>171.43</v>
      </c>
      <c r="H188">
        <v>0</v>
      </c>
      <c r="I188">
        <v>0</v>
      </c>
      <c r="J188">
        <v>0</v>
      </c>
      <c r="K188">
        <v>0</v>
      </c>
    </row>
    <row r="189" spans="1:11" x14ac:dyDescent="0.3">
      <c r="A189" t="s">
        <v>349</v>
      </c>
      <c r="B189" t="s">
        <v>101</v>
      </c>
      <c r="C189">
        <v>0</v>
      </c>
      <c r="D189">
        <v>0</v>
      </c>
      <c r="E189">
        <v>0</v>
      </c>
      <c r="F189">
        <v>0</v>
      </c>
      <c r="G189">
        <v>0</v>
      </c>
      <c r="H189">
        <v>4</v>
      </c>
      <c r="I189">
        <v>30</v>
      </c>
      <c r="J189">
        <v>3</v>
      </c>
      <c r="K189">
        <v>7.5</v>
      </c>
    </row>
    <row r="190" spans="1:11" x14ac:dyDescent="0.3">
      <c r="A190" t="s">
        <v>350</v>
      </c>
      <c r="B190" t="s">
        <v>8</v>
      </c>
      <c r="C190">
        <v>75</v>
      </c>
      <c r="D190">
        <v>45</v>
      </c>
      <c r="E190">
        <v>7</v>
      </c>
      <c r="F190">
        <v>3</v>
      </c>
      <c r="G190">
        <v>166.67</v>
      </c>
      <c r="H190">
        <v>0</v>
      </c>
      <c r="I190">
        <v>0</v>
      </c>
      <c r="J190">
        <v>0</v>
      </c>
      <c r="K190">
        <v>0</v>
      </c>
    </row>
    <row r="191" spans="1:11" x14ac:dyDescent="0.3">
      <c r="A191" t="s">
        <v>351</v>
      </c>
      <c r="B191" t="s">
        <v>37</v>
      </c>
      <c r="C191">
        <v>0</v>
      </c>
      <c r="D191">
        <v>0</v>
      </c>
      <c r="E191">
        <v>0</v>
      </c>
      <c r="F191">
        <v>0</v>
      </c>
      <c r="G191">
        <v>0</v>
      </c>
      <c r="H191">
        <v>4</v>
      </c>
      <c r="I191">
        <v>28</v>
      </c>
      <c r="J191">
        <v>2</v>
      </c>
      <c r="K191">
        <v>7</v>
      </c>
    </row>
    <row r="192" spans="1:11" x14ac:dyDescent="0.3">
      <c r="A192" t="s">
        <v>352</v>
      </c>
      <c r="B192" t="s">
        <v>59</v>
      </c>
      <c r="C192">
        <v>65</v>
      </c>
      <c r="D192">
        <v>40</v>
      </c>
      <c r="E192">
        <v>6</v>
      </c>
      <c r="F192">
        <v>3</v>
      </c>
      <c r="G192">
        <v>162.5</v>
      </c>
      <c r="H192">
        <v>0</v>
      </c>
      <c r="I192">
        <v>0</v>
      </c>
      <c r="J192">
        <v>0</v>
      </c>
      <c r="K192">
        <v>0</v>
      </c>
    </row>
    <row r="193" spans="1:11" x14ac:dyDescent="0.3">
      <c r="A193" t="s">
        <v>353</v>
      </c>
      <c r="B193" t="s">
        <v>84</v>
      </c>
      <c r="C193">
        <v>95</v>
      </c>
      <c r="D193">
        <v>50</v>
      </c>
      <c r="E193">
        <v>10</v>
      </c>
      <c r="F193">
        <v>4</v>
      </c>
      <c r="G193">
        <v>190</v>
      </c>
      <c r="H193">
        <v>0</v>
      </c>
      <c r="I193">
        <v>0</v>
      </c>
      <c r="J193">
        <v>0</v>
      </c>
      <c r="K193">
        <v>0</v>
      </c>
    </row>
    <row r="194" spans="1:11" x14ac:dyDescent="0.3">
      <c r="A194" t="s">
        <v>354</v>
      </c>
      <c r="B194" t="s">
        <v>91</v>
      </c>
      <c r="C194">
        <v>0</v>
      </c>
      <c r="D194">
        <v>0</v>
      </c>
      <c r="E194">
        <v>0</v>
      </c>
      <c r="F194">
        <v>0</v>
      </c>
      <c r="G194">
        <v>0</v>
      </c>
      <c r="H194">
        <v>4</v>
      </c>
      <c r="I194">
        <v>25</v>
      </c>
      <c r="J194">
        <v>2</v>
      </c>
      <c r="K194">
        <v>6.25</v>
      </c>
    </row>
    <row r="195" spans="1:11" x14ac:dyDescent="0.3">
      <c r="A195" t="s">
        <v>355</v>
      </c>
      <c r="B195" t="s">
        <v>95</v>
      </c>
      <c r="C195">
        <v>80</v>
      </c>
      <c r="D195">
        <v>45</v>
      </c>
      <c r="E195">
        <v>8</v>
      </c>
      <c r="F195">
        <v>3</v>
      </c>
      <c r="G195">
        <v>177.78</v>
      </c>
      <c r="H195">
        <v>0</v>
      </c>
      <c r="I195">
        <v>0</v>
      </c>
      <c r="J195">
        <v>0</v>
      </c>
      <c r="K195">
        <v>0</v>
      </c>
    </row>
    <row r="196" spans="1:11" x14ac:dyDescent="0.3">
      <c r="A196" t="s">
        <v>356</v>
      </c>
      <c r="B196" t="s">
        <v>47</v>
      </c>
      <c r="C196">
        <v>45</v>
      </c>
      <c r="D196">
        <v>25</v>
      </c>
      <c r="E196">
        <v>4</v>
      </c>
      <c r="F196">
        <v>2</v>
      </c>
      <c r="G196">
        <v>180</v>
      </c>
      <c r="H196">
        <v>0</v>
      </c>
      <c r="I196">
        <v>0</v>
      </c>
      <c r="J196">
        <v>0</v>
      </c>
      <c r="K196">
        <v>0</v>
      </c>
    </row>
    <row r="197" spans="1:11" x14ac:dyDescent="0.3">
      <c r="A197" t="s">
        <v>357</v>
      </c>
      <c r="B197" t="s">
        <v>66</v>
      </c>
      <c r="C197">
        <v>35</v>
      </c>
      <c r="D197">
        <v>20</v>
      </c>
      <c r="E197">
        <v>4</v>
      </c>
      <c r="F197">
        <v>2</v>
      </c>
      <c r="G197">
        <v>175</v>
      </c>
      <c r="H197">
        <v>4</v>
      </c>
      <c r="I197">
        <v>30</v>
      </c>
      <c r="J197">
        <v>2</v>
      </c>
      <c r="K197">
        <v>7.5</v>
      </c>
    </row>
    <row r="198" spans="1:11" x14ac:dyDescent="0.3">
      <c r="A198" t="s">
        <v>358</v>
      </c>
      <c r="B198" t="s">
        <v>68</v>
      </c>
      <c r="C198">
        <v>0</v>
      </c>
      <c r="D198">
        <v>0</v>
      </c>
      <c r="E198">
        <v>0</v>
      </c>
      <c r="F198">
        <v>0</v>
      </c>
      <c r="G198">
        <v>0</v>
      </c>
      <c r="H198">
        <v>4</v>
      </c>
      <c r="I198">
        <v>25</v>
      </c>
      <c r="J198">
        <v>2</v>
      </c>
      <c r="K198">
        <v>6.25</v>
      </c>
    </row>
    <row r="199" spans="1:11" x14ac:dyDescent="0.3">
      <c r="A199" t="s">
        <v>359</v>
      </c>
      <c r="B199" t="s">
        <v>34</v>
      </c>
      <c r="C199">
        <v>90</v>
      </c>
      <c r="D199">
        <v>50</v>
      </c>
      <c r="E199">
        <v>9</v>
      </c>
      <c r="F199">
        <v>4</v>
      </c>
      <c r="G199">
        <v>180</v>
      </c>
      <c r="H199">
        <v>0</v>
      </c>
      <c r="I199">
        <v>0</v>
      </c>
      <c r="J199">
        <v>0</v>
      </c>
      <c r="K199">
        <v>0</v>
      </c>
    </row>
    <row r="200" spans="1:11" x14ac:dyDescent="0.3">
      <c r="A200" t="s">
        <v>360</v>
      </c>
      <c r="B200" t="s">
        <v>41</v>
      </c>
      <c r="C200">
        <v>50</v>
      </c>
      <c r="D200">
        <v>30</v>
      </c>
      <c r="E200">
        <v>5</v>
      </c>
      <c r="F200">
        <v>2</v>
      </c>
      <c r="G200">
        <v>166.67</v>
      </c>
      <c r="H200">
        <v>0</v>
      </c>
      <c r="I200">
        <v>0</v>
      </c>
      <c r="J200">
        <v>0</v>
      </c>
      <c r="K200">
        <v>0</v>
      </c>
    </row>
    <row r="201" spans="1:11" x14ac:dyDescent="0.3">
      <c r="A201" t="s">
        <v>361</v>
      </c>
      <c r="B201" t="s">
        <v>117</v>
      </c>
      <c r="C201">
        <v>80</v>
      </c>
      <c r="D201">
        <v>45</v>
      </c>
      <c r="E201">
        <v>8</v>
      </c>
      <c r="F201">
        <v>3</v>
      </c>
      <c r="G201">
        <v>177.78</v>
      </c>
      <c r="H201">
        <v>0</v>
      </c>
      <c r="I201">
        <v>0</v>
      </c>
      <c r="J201">
        <v>0</v>
      </c>
      <c r="K201">
        <v>0</v>
      </c>
    </row>
    <row r="202" spans="1:11" x14ac:dyDescent="0.3">
      <c r="A202" t="s">
        <v>362</v>
      </c>
      <c r="B202" t="s">
        <v>119</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ACEB-38A4-48C4-8399-FDDD7D74A4F2}">
  <dimension ref="A1:N61"/>
  <sheetViews>
    <sheetView workbookViewId="0">
      <selection activeCell="B1" sqref="B1"/>
    </sheetView>
  </sheetViews>
  <sheetFormatPr defaultRowHeight="14.4" x14ac:dyDescent="0.3"/>
  <cols>
    <col min="1" max="1" width="10.88671875" bestFit="1" customWidth="1"/>
    <col min="2" max="2" width="10.33203125" bestFit="1" customWidth="1"/>
    <col min="3" max="3" width="10.88671875" bestFit="1" customWidth="1"/>
    <col min="4" max="5" width="11.33203125" bestFit="1" customWidth="1"/>
    <col min="6" max="6" width="13.5546875" bestFit="1" customWidth="1"/>
    <col min="7" max="7" width="15" bestFit="1" customWidth="1"/>
    <col min="8" max="8" width="14.88671875" bestFit="1" customWidth="1"/>
    <col min="9" max="10" width="13.5546875" bestFit="1" customWidth="1"/>
    <col min="11" max="12" width="16.44140625" bestFit="1" customWidth="1"/>
    <col min="13" max="14" width="14.33203125" bestFit="1" customWidth="1"/>
  </cols>
  <sheetData>
    <row r="1" spans="1:14" x14ac:dyDescent="0.3">
      <c r="A1" t="s">
        <v>201</v>
      </c>
      <c r="B1" t="s">
        <v>202</v>
      </c>
      <c r="C1" t="s">
        <v>175</v>
      </c>
      <c r="D1" t="s">
        <v>203</v>
      </c>
      <c r="E1" t="s">
        <v>204</v>
      </c>
      <c r="F1" t="s">
        <v>205</v>
      </c>
      <c r="G1" t="s">
        <v>206</v>
      </c>
      <c r="H1" t="s">
        <v>207</v>
      </c>
      <c r="I1" t="s">
        <v>208</v>
      </c>
      <c r="J1" t="s">
        <v>209</v>
      </c>
      <c r="K1" t="s">
        <v>210</v>
      </c>
      <c r="L1" t="s">
        <v>211</v>
      </c>
      <c r="M1" t="s">
        <v>212</v>
      </c>
      <c r="N1" t="s">
        <v>213</v>
      </c>
    </row>
    <row r="2" spans="1:14" x14ac:dyDescent="0.3">
      <c r="A2" t="s">
        <v>214</v>
      </c>
      <c r="B2" s="1">
        <v>45738</v>
      </c>
      <c r="C2" t="s">
        <v>180</v>
      </c>
      <c r="D2" t="s">
        <v>36</v>
      </c>
      <c r="E2" t="s">
        <v>49</v>
      </c>
      <c r="F2" t="s">
        <v>36</v>
      </c>
      <c r="G2" t="s">
        <v>36</v>
      </c>
      <c r="H2" t="s">
        <v>34</v>
      </c>
      <c r="I2">
        <v>192</v>
      </c>
      <c r="J2">
        <v>174</v>
      </c>
      <c r="K2">
        <v>4</v>
      </c>
      <c r="L2">
        <v>8</v>
      </c>
      <c r="M2">
        <v>20</v>
      </c>
      <c r="N2">
        <v>20</v>
      </c>
    </row>
    <row r="3" spans="1:14" x14ac:dyDescent="0.3">
      <c r="A3" t="s">
        <v>215</v>
      </c>
      <c r="B3" s="1">
        <v>45739</v>
      </c>
      <c r="C3" t="s">
        <v>191</v>
      </c>
      <c r="D3" t="s">
        <v>113</v>
      </c>
      <c r="E3" t="s">
        <v>73</v>
      </c>
      <c r="F3" t="s">
        <v>113</v>
      </c>
      <c r="G3" t="s">
        <v>113</v>
      </c>
      <c r="H3" t="s">
        <v>119</v>
      </c>
      <c r="I3">
        <v>184</v>
      </c>
      <c r="J3">
        <v>183</v>
      </c>
      <c r="K3">
        <v>7</v>
      </c>
      <c r="L3">
        <v>9</v>
      </c>
      <c r="M3">
        <v>20</v>
      </c>
      <c r="N3">
        <v>20</v>
      </c>
    </row>
    <row r="4" spans="1:14" x14ac:dyDescent="0.3">
      <c r="A4" t="s">
        <v>216</v>
      </c>
      <c r="B4" s="1">
        <v>45739</v>
      </c>
      <c r="C4" t="s">
        <v>184</v>
      </c>
      <c r="D4" t="s">
        <v>61</v>
      </c>
      <c r="E4" t="s">
        <v>100</v>
      </c>
      <c r="F4" t="s">
        <v>100</v>
      </c>
      <c r="G4" t="s">
        <v>61</v>
      </c>
      <c r="H4" t="s">
        <v>63</v>
      </c>
      <c r="I4">
        <v>208</v>
      </c>
      <c r="J4">
        <v>198</v>
      </c>
      <c r="K4">
        <v>6</v>
      </c>
      <c r="L4">
        <v>7</v>
      </c>
      <c r="M4">
        <v>20</v>
      </c>
      <c r="N4">
        <v>20</v>
      </c>
    </row>
    <row r="5" spans="1:14" x14ac:dyDescent="0.3">
      <c r="A5" t="s">
        <v>217</v>
      </c>
      <c r="B5" s="1">
        <v>45740</v>
      </c>
      <c r="C5" t="s">
        <v>188</v>
      </c>
      <c r="D5" t="s">
        <v>86</v>
      </c>
      <c r="E5" t="s">
        <v>10</v>
      </c>
      <c r="F5" t="s">
        <v>10</v>
      </c>
      <c r="G5" t="s">
        <v>86</v>
      </c>
      <c r="H5" t="s">
        <v>84</v>
      </c>
      <c r="I5">
        <v>193</v>
      </c>
      <c r="J5">
        <v>165</v>
      </c>
      <c r="K5">
        <v>5</v>
      </c>
      <c r="L5">
        <v>10</v>
      </c>
      <c r="M5">
        <v>20</v>
      </c>
      <c r="N5">
        <v>17.2</v>
      </c>
    </row>
    <row r="6" spans="1:14" x14ac:dyDescent="0.3">
      <c r="A6" t="s">
        <v>218</v>
      </c>
      <c r="B6" s="1">
        <v>45741</v>
      </c>
      <c r="C6" t="s">
        <v>182</v>
      </c>
      <c r="D6" t="s">
        <v>49</v>
      </c>
      <c r="E6" t="s">
        <v>86</v>
      </c>
      <c r="F6" t="s">
        <v>49</v>
      </c>
      <c r="G6" t="s">
        <v>86</v>
      </c>
      <c r="H6" t="s">
        <v>95</v>
      </c>
      <c r="I6">
        <v>181</v>
      </c>
      <c r="J6">
        <v>185</v>
      </c>
      <c r="K6">
        <v>5</v>
      </c>
      <c r="L6">
        <v>4</v>
      </c>
      <c r="M6">
        <v>20</v>
      </c>
      <c r="N6">
        <v>19.3</v>
      </c>
    </row>
    <row r="7" spans="1:14" x14ac:dyDescent="0.3">
      <c r="A7" t="s">
        <v>219</v>
      </c>
      <c r="B7" s="1">
        <v>45742</v>
      </c>
      <c r="C7" t="s">
        <v>186</v>
      </c>
      <c r="D7" t="s">
        <v>73</v>
      </c>
      <c r="E7" t="s">
        <v>61</v>
      </c>
      <c r="F7" t="s">
        <v>73</v>
      </c>
      <c r="G7" t="s">
        <v>61</v>
      </c>
      <c r="H7" t="s">
        <v>66</v>
      </c>
      <c r="I7">
        <v>164</v>
      </c>
      <c r="J7">
        <v>165</v>
      </c>
      <c r="K7">
        <v>8</v>
      </c>
      <c r="L7">
        <v>3</v>
      </c>
      <c r="M7">
        <v>20</v>
      </c>
      <c r="N7">
        <v>18.399999999999999</v>
      </c>
    </row>
    <row r="8" spans="1:14" x14ac:dyDescent="0.3">
      <c r="A8" t="s">
        <v>220</v>
      </c>
      <c r="B8" s="1">
        <v>45743</v>
      </c>
      <c r="C8" t="s">
        <v>180</v>
      </c>
      <c r="D8" t="s">
        <v>36</v>
      </c>
      <c r="E8" t="s">
        <v>100</v>
      </c>
      <c r="F8" t="s">
        <v>100</v>
      </c>
      <c r="G8" t="s">
        <v>36</v>
      </c>
      <c r="H8" t="s">
        <v>37</v>
      </c>
      <c r="I8">
        <v>178</v>
      </c>
      <c r="J8">
        <v>169</v>
      </c>
      <c r="K8">
        <v>6</v>
      </c>
      <c r="L8">
        <v>9</v>
      </c>
      <c r="M8">
        <v>20</v>
      </c>
      <c r="N8">
        <v>20</v>
      </c>
    </row>
    <row r="9" spans="1:14" x14ac:dyDescent="0.3">
      <c r="A9" t="s">
        <v>221</v>
      </c>
      <c r="B9" s="1">
        <v>45744</v>
      </c>
      <c r="C9" t="s">
        <v>178</v>
      </c>
      <c r="D9" t="s">
        <v>10</v>
      </c>
      <c r="E9" t="s">
        <v>113</v>
      </c>
      <c r="F9" t="s">
        <v>10</v>
      </c>
      <c r="G9" t="s">
        <v>113</v>
      </c>
      <c r="H9" t="s">
        <v>117</v>
      </c>
      <c r="I9">
        <v>154</v>
      </c>
      <c r="J9">
        <v>155</v>
      </c>
      <c r="K9">
        <v>10</v>
      </c>
      <c r="L9">
        <v>3</v>
      </c>
      <c r="M9">
        <v>19.5</v>
      </c>
      <c r="N9">
        <v>17</v>
      </c>
    </row>
    <row r="10" spans="1:14" x14ac:dyDescent="0.3">
      <c r="A10" t="s">
        <v>222</v>
      </c>
      <c r="B10" s="1">
        <v>45745</v>
      </c>
      <c r="C10" t="s">
        <v>184</v>
      </c>
      <c r="D10" t="s">
        <v>61</v>
      </c>
      <c r="E10" t="s">
        <v>49</v>
      </c>
      <c r="F10" t="s">
        <v>49</v>
      </c>
      <c r="G10" t="s">
        <v>61</v>
      </c>
      <c r="H10" t="s">
        <v>68</v>
      </c>
      <c r="I10">
        <v>171</v>
      </c>
      <c r="J10">
        <v>156</v>
      </c>
      <c r="K10">
        <v>5</v>
      </c>
      <c r="L10">
        <v>9</v>
      </c>
      <c r="M10">
        <v>20</v>
      </c>
      <c r="N10">
        <v>18.3</v>
      </c>
    </row>
    <row r="11" spans="1:14" x14ac:dyDescent="0.3">
      <c r="A11" t="s">
        <v>223</v>
      </c>
      <c r="B11" s="1">
        <v>45746</v>
      </c>
      <c r="C11" t="s">
        <v>188</v>
      </c>
      <c r="D11" t="s">
        <v>86</v>
      </c>
      <c r="E11" t="s">
        <v>73</v>
      </c>
      <c r="F11" t="s">
        <v>73</v>
      </c>
      <c r="G11" t="s">
        <v>73</v>
      </c>
      <c r="H11" t="s">
        <v>75</v>
      </c>
      <c r="I11">
        <v>149</v>
      </c>
      <c r="J11">
        <v>150</v>
      </c>
      <c r="K11">
        <v>9</v>
      </c>
      <c r="L11">
        <v>4</v>
      </c>
      <c r="M11">
        <v>20</v>
      </c>
      <c r="N11">
        <v>18.100000000000001</v>
      </c>
    </row>
    <row r="12" spans="1:14" x14ac:dyDescent="0.3">
      <c r="A12" t="s">
        <v>224</v>
      </c>
      <c r="B12" s="1">
        <v>45747</v>
      </c>
      <c r="C12" t="s">
        <v>190</v>
      </c>
      <c r="D12" t="s">
        <v>100</v>
      </c>
      <c r="E12" t="s">
        <v>10</v>
      </c>
      <c r="F12" t="s">
        <v>10</v>
      </c>
      <c r="G12" t="s">
        <v>100</v>
      </c>
      <c r="H12" t="s">
        <v>98</v>
      </c>
      <c r="I12">
        <v>177</v>
      </c>
      <c r="J12">
        <v>152</v>
      </c>
      <c r="K12">
        <v>7</v>
      </c>
      <c r="L12">
        <v>8</v>
      </c>
      <c r="M12">
        <v>20</v>
      </c>
      <c r="N12">
        <v>18.399999999999999</v>
      </c>
    </row>
    <row r="13" spans="1:14" x14ac:dyDescent="0.3">
      <c r="A13" t="s">
        <v>225</v>
      </c>
      <c r="B13" s="1">
        <v>45748</v>
      </c>
      <c r="C13" t="s">
        <v>191</v>
      </c>
      <c r="D13" t="s">
        <v>113</v>
      </c>
      <c r="E13" t="s">
        <v>36</v>
      </c>
      <c r="F13" t="s">
        <v>36</v>
      </c>
      <c r="G13" t="s">
        <v>36</v>
      </c>
      <c r="H13" t="s">
        <v>41</v>
      </c>
      <c r="I13">
        <v>161</v>
      </c>
      <c r="J13">
        <v>162</v>
      </c>
      <c r="K13">
        <v>8</v>
      </c>
      <c r="L13">
        <v>6</v>
      </c>
      <c r="M13">
        <v>20</v>
      </c>
      <c r="N13">
        <v>19.2</v>
      </c>
    </row>
    <row r="14" spans="1:14" x14ac:dyDescent="0.3">
      <c r="A14" t="s">
        <v>226</v>
      </c>
      <c r="B14" s="1">
        <v>45749</v>
      </c>
      <c r="C14" t="s">
        <v>182</v>
      </c>
      <c r="D14" t="s">
        <v>49</v>
      </c>
      <c r="E14" t="s">
        <v>73</v>
      </c>
      <c r="F14" t="s">
        <v>73</v>
      </c>
      <c r="G14" t="s">
        <v>49</v>
      </c>
      <c r="H14" t="s">
        <v>47</v>
      </c>
      <c r="I14">
        <v>198</v>
      </c>
      <c r="J14">
        <v>187</v>
      </c>
      <c r="K14">
        <v>3</v>
      </c>
      <c r="L14">
        <v>8</v>
      </c>
      <c r="M14">
        <v>20</v>
      </c>
      <c r="N14">
        <v>20</v>
      </c>
    </row>
    <row r="15" spans="1:14" x14ac:dyDescent="0.3">
      <c r="A15" t="s">
        <v>227</v>
      </c>
      <c r="B15" s="1">
        <v>45750</v>
      </c>
      <c r="C15" t="s">
        <v>178</v>
      </c>
      <c r="D15" t="s">
        <v>10</v>
      </c>
      <c r="E15" t="s">
        <v>86</v>
      </c>
      <c r="F15" t="s">
        <v>86</v>
      </c>
      <c r="G15" t="s">
        <v>10</v>
      </c>
      <c r="H15" t="s">
        <v>8</v>
      </c>
      <c r="I15">
        <v>188</v>
      </c>
      <c r="J15">
        <v>186</v>
      </c>
      <c r="K15">
        <v>6</v>
      </c>
      <c r="L15">
        <v>8</v>
      </c>
      <c r="M15">
        <v>20</v>
      </c>
      <c r="N15">
        <v>20</v>
      </c>
    </row>
    <row r="16" spans="1:14" x14ac:dyDescent="0.3">
      <c r="A16" t="s">
        <v>228</v>
      </c>
      <c r="B16" s="1">
        <v>45751</v>
      </c>
      <c r="C16" t="s">
        <v>184</v>
      </c>
      <c r="D16" t="s">
        <v>61</v>
      </c>
      <c r="E16" t="s">
        <v>113</v>
      </c>
      <c r="F16" t="s">
        <v>113</v>
      </c>
      <c r="G16" t="s">
        <v>113</v>
      </c>
      <c r="H16" t="s">
        <v>111</v>
      </c>
      <c r="I16">
        <v>169</v>
      </c>
      <c r="J16">
        <v>170</v>
      </c>
      <c r="K16">
        <v>8</v>
      </c>
      <c r="L16">
        <v>4</v>
      </c>
      <c r="M16">
        <v>20</v>
      </c>
      <c r="N16">
        <v>19.100000000000001</v>
      </c>
    </row>
    <row r="17" spans="1:14" x14ac:dyDescent="0.3">
      <c r="A17" t="s">
        <v>229</v>
      </c>
      <c r="B17" s="1">
        <v>45752</v>
      </c>
      <c r="C17" t="s">
        <v>186</v>
      </c>
      <c r="D17" t="s">
        <v>73</v>
      </c>
      <c r="E17" t="s">
        <v>100</v>
      </c>
      <c r="F17" t="s">
        <v>73</v>
      </c>
      <c r="G17" t="s">
        <v>100</v>
      </c>
      <c r="H17" t="s">
        <v>101</v>
      </c>
      <c r="I17">
        <v>155</v>
      </c>
      <c r="J17">
        <v>156</v>
      </c>
      <c r="K17">
        <v>10</v>
      </c>
      <c r="L17">
        <v>6</v>
      </c>
      <c r="M17">
        <v>20</v>
      </c>
      <c r="N17">
        <v>19.399999999999999</v>
      </c>
    </row>
    <row r="18" spans="1:14" x14ac:dyDescent="0.3">
      <c r="A18" t="s">
        <v>230</v>
      </c>
      <c r="B18" s="1">
        <v>45753</v>
      </c>
      <c r="C18" t="s">
        <v>180</v>
      </c>
      <c r="D18" t="s">
        <v>36</v>
      </c>
      <c r="E18" t="s">
        <v>10</v>
      </c>
      <c r="F18" t="s">
        <v>10</v>
      </c>
      <c r="G18" t="s">
        <v>36</v>
      </c>
      <c r="H18" t="s">
        <v>34</v>
      </c>
      <c r="I18">
        <v>180</v>
      </c>
      <c r="J18">
        <v>178</v>
      </c>
      <c r="K18">
        <v>5</v>
      </c>
      <c r="L18">
        <v>8</v>
      </c>
      <c r="M18">
        <v>20</v>
      </c>
      <c r="N18">
        <v>20</v>
      </c>
    </row>
    <row r="19" spans="1:14" x14ac:dyDescent="0.3">
      <c r="A19" t="s">
        <v>231</v>
      </c>
      <c r="B19" s="1">
        <v>45754</v>
      </c>
      <c r="C19" t="s">
        <v>182</v>
      </c>
      <c r="D19" t="s">
        <v>49</v>
      </c>
      <c r="E19" t="s">
        <v>113</v>
      </c>
      <c r="F19" t="s">
        <v>49</v>
      </c>
      <c r="G19" t="s">
        <v>49</v>
      </c>
      <c r="H19" t="s">
        <v>53</v>
      </c>
      <c r="I19">
        <v>194</v>
      </c>
      <c r="J19">
        <v>188</v>
      </c>
      <c r="K19">
        <v>6</v>
      </c>
      <c r="L19">
        <v>7</v>
      </c>
      <c r="M19">
        <v>20</v>
      </c>
      <c r="N19">
        <v>20</v>
      </c>
    </row>
    <row r="20" spans="1:14" x14ac:dyDescent="0.3">
      <c r="A20" t="s">
        <v>232</v>
      </c>
      <c r="B20" s="1">
        <v>45755</v>
      </c>
      <c r="C20" t="s">
        <v>188</v>
      </c>
      <c r="D20" t="s">
        <v>86</v>
      </c>
      <c r="E20" t="s">
        <v>61</v>
      </c>
      <c r="F20" t="s">
        <v>61</v>
      </c>
      <c r="G20" t="s">
        <v>86</v>
      </c>
      <c r="H20" t="s">
        <v>89</v>
      </c>
      <c r="I20">
        <v>172</v>
      </c>
      <c r="J20">
        <v>171</v>
      </c>
      <c r="K20">
        <v>9</v>
      </c>
      <c r="L20">
        <v>10</v>
      </c>
      <c r="M20">
        <v>20</v>
      </c>
      <c r="N20">
        <v>20</v>
      </c>
    </row>
    <row r="21" spans="1:14" x14ac:dyDescent="0.3">
      <c r="A21" t="s">
        <v>233</v>
      </c>
      <c r="B21" s="1">
        <v>45756</v>
      </c>
      <c r="C21" t="s">
        <v>190</v>
      </c>
      <c r="D21" t="s">
        <v>100</v>
      </c>
      <c r="E21" t="s">
        <v>73</v>
      </c>
      <c r="F21" t="s">
        <v>73</v>
      </c>
      <c r="G21" t="s">
        <v>73</v>
      </c>
      <c r="H21" t="s">
        <v>79</v>
      </c>
      <c r="I21">
        <v>166</v>
      </c>
      <c r="J21">
        <v>167</v>
      </c>
      <c r="K21">
        <v>7</v>
      </c>
      <c r="L21">
        <v>5</v>
      </c>
      <c r="M21">
        <v>20</v>
      </c>
      <c r="N21">
        <v>19.100000000000001</v>
      </c>
    </row>
    <row r="22" spans="1:14" x14ac:dyDescent="0.3">
      <c r="A22" t="s">
        <v>234</v>
      </c>
      <c r="B22" s="1">
        <v>45757</v>
      </c>
      <c r="C22" t="s">
        <v>178</v>
      </c>
      <c r="D22" t="s">
        <v>10</v>
      </c>
      <c r="E22" t="s">
        <v>61</v>
      </c>
      <c r="F22" t="s">
        <v>61</v>
      </c>
      <c r="G22" t="s">
        <v>10</v>
      </c>
      <c r="H22" t="s">
        <v>16</v>
      </c>
      <c r="I22">
        <v>175</v>
      </c>
      <c r="J22">
        <v>170</v>
      </c>
      <c r="K22">
        <v>7</v>
      </c>
      <c r="L22">
        <v>9</v>
      </c>
      <c r="M22">
        <v>20</v>
      </c>
      <c r="N22">
        <v>20</v>
      </c>
    </row>
    <row r="23" spans="1:14" x14ac:dyDescent="0.3">
      <c r="A23" t="s">
        <v>235</v>
      </c>
      <c r="B23" s="1">
        <v>45758</v>
      </c>
      <c r="C23" t="s">
        <v>191</v>
      </c>
      <c r="D23" t="s">
        <v>113</v>
      </c>
      <c r="E23" t="s">
        <v>86</v>
      </c>
      <c r="F23" t="s">
        <v>86</v>
      </c>
      <c r="G23" t="s">
        <v>113</v>
      </c>
      <c r="H23" t="s">
        <v>115</v>
      </c>
      <c r="I23">
        <v>159</v>
      </c>
      <c r="J23">
        <v>158</v>
      </c>
      <c r="K23">
        <v>6</v>
      </c>
      <c r="L23">
        <v>7</v>
      </c>
      <c r="M23">
        <v>20</v>
      </c>
      <c r="N23">
        <v>20</v>
      </c>
    </row>
    <row r="24" spans="1:14" x14ac:dyDescent="0.3">
      <c r="A24" t="s">
        <v>236</v>
      </c>
      <c r="B24" s="1">
        <v>45759</v>
      </c>
      <c r="C24" t="s">
        <v>180</v>
      </c>
      <c r="D24" t="s">
        <v>36</v>
      </c>
      <c r="E24" t="s">
        <v>49</v>
      </c>
      <c r="F24" t="s">
        <v>49</v>
      </c>
      <c r="G24" t="s">
        <v>49</v>
      </c>
      <c r="H24" t="s">
        <v>47</v>
      </c>
      <c r="I24">
        <v>183</v>
      </c>
      <c r="J24">
        <v>184</v>
      </c>
      <c r="K24">
        <v>8</v>
      </c>
      <c r="L24">
        <v>6</v>
      </c>
      <c r="M24">
        <v>20</v>
      </c>
      <c r="N24">
        <v>19.399999999999999</v>
      </c>
    </row>
    <row r="25" spans="1:14" x14ac:dyDescent="0.3">
      <c r="A25" t="s">
        <v>237</v>
      </c>
      <c r="B25" s="1">
        <v>45760</v>
      </c>
      <c r="C25" t="s">
        <v>186</v>
      </c>
      <c r="D25" t="s">
        <v>73</v>
      </c>
      <c r="E25" t="s">
        <v>10</v>
      </c>
      <c r="F25" t="s">
        <v>73</v>
      </c>
      <c r="G25" t="s">
        <v>10</v>
      </c>
      <c r="H25" t="s">
        <v>21</v>
      </c>
      <c r="I25">
        <v>168</v>
      </c>
      <c r="J25">
        <v>171</v>
      </c>
      <c r="K25">
        <v>5</v>
      </c>
      <c r="L25">
        <v>4</v>
      </c>
      <c r="M25">
        <v>20</v>
      </c>
      <c r="N25">
        <v>19.100000000000001</v>
      </c>
    </row>
    <row r="26" spans="1:14" x14ac:dyDescent="0.3">
      <c r="A26" t="s">
        <v>238</v>
      </c>
      <c r="B26" s="1">
        <v>45761</v>
      </c>
      <c r="C26" t="s">
        <v>190</v>
      </c>
      <c r="D26" t="s">
        <v>100</v>
      </c>
      <c r="E26" t="s">
        <v>113</v>
      </c>
      <c r="F26" t="s">
        <v>100</v>
      </c>
      <c r="G26" t="s">
        <v>113</v>
      </c>
      <c r="H26" t="s">
        <v>119</v>
      </c>
      <c r="I26">
        <v>186</v>
      </c>
      <c r="J26">
        <v>187</v>
      </c>
      <c r="K26">
        <v>6</v>
      </c>
      <c r="L26">
        <v>5</v>
      </c>
      <c r="M26">
        <v>20</v>
      </c>
      <c r="N26">
        <v>19.2</v>
      </c>
    </row>
    <row r="27" spans="1:14" x14ac:dyDescent="0.3">
      <c r="A27" t="s">
        <v>239</v>
      </c>
      <c r="B27" s="1">
        <v>45762</v>
      </c>
      <c r="C27" t="s">
        <v>184</v>
      </c>
      <c r="D27" t="s">
        <v>61</v>
      </c>
      <c r="E27" t="s">
        <v>36</v>
      </c>
      <c r="F27" t="s">
        <v>36</v>
      </c>
      <c r="G27" t="s">
        <v>36</v>
      </c>
      <c r="H27" t="s">
        <v>44</v>
      </c>
      <c r="I27">
        <v>160</v>
      </c>
      <c r="J27">
        <v>161</v>
      </c>
      <c r="K27">
        <v>9</v>
      </c>
      <c r="L27">
        <v>7</v>
      </c>
      <c r="M27">
        <v>20</v>
      </c>
      <c r="N27">
        <v>19.5</v>
      </c>
    </row>
    <row r="28" spans="1:14" x14ac:dyDescent="0.3">
      <c r="A28" t="s">
        <v>240</v>
      </c>
      <c r="B28" s="1">
        <v>45763</v>
      </c>
      <c r="C28" t="s">
        <v>188</v>
      </c>
      <c r="D28" t="s">
        <v>86</v>
      </c>
      <c r="E28" t="s">
        <v>49</v>
      </c>
      <c r="F28" t="s">
        <v>49</v>
      </c>
      <c r="G28" t="s">
        <v>86</v>
      </c>
      <c r="H28" t="s">
        <v>84</v>
      </c>
      <c r="I28">
        <v>190</v>
      </c>
      <c r="J28">
        <v>185</v>
      </c>
      <c r="K28">
        <v>5</v>
      </c>
      <c r="L28">
        <v>8</v>
      </c>
      <c r="M28">
        <v>20</v>
      </c>
      <c r="N28">
        <v>20</v>
      </c>
    </row>
    <row r="29" spans="1:14" x14ac:dyDescent="0.3">
      <c r="A29" t="s">
        <v>241</v>
      </c>
      <c r="B29" s="1">
        <v>45764</v>
      </c>
      <c r="C29" t="s">
        <v>178</v>
      </c>
      <c r="D29" t="s">
        <v>10</v>
      </c>
      <c r="E29" t="s">
        <v>73</v>
      </c>
      <c r="F29" t="s">
        <v>10</v>
      </c>
      <c r="G29" t="s">
        <v>10</v>
      </c>
      <c r="H29" t="s">
        <v>27</v>
      </c>
      <c r="I29">
        <v>189</v>
      </c>
      <c r="J29">
        <v>173</v>
      </c>
      <c r="K29">
        <v>3</v>
      </c>
      <c r="L29">
        <v>9</v>
      </c>
      <c r="M29">
        <v>20</v>
      </c>
      <c r="N29">
        <v>20</v>
      </c>
    </row>
    <row r="30" spans="1:14" x14ac:dyDescent="0.3">
      <c r="A30" t="s">
        <v>242</v>
      </c>
      <c r="B30" s="1">
        <v>45765</v>
      </c>
      <c r="C30" t="s">
        <v>191</v>
      </c>
      <c r="D30" t="s">
        <v>113</v>
      </c>
      <c r="E30" t="s">
        <v>100</v>
      </c>
      <c r="F30" t="s">
        <v>113</v>
      </c>
      <c r="G30" t="s">
        <v>100</v>
      </c>
      <c r="H30" t="s">
        <v>105</v>
      </c>
      <c r="I30">
        <v>157</v>
      </c>
      <c r="J30">
        <v>158</v>
      </c>
      <c r="K30">
        <v>7</v>
      </c>
      <c r="L30">
        <v>6</v>
      </c>
      <c r="M30">
        <v>20</v>
      </c>
      <c r="N30">
        <v>19.3</v>
      </c>
    </row>
    <row r="31" spans="1:14" x14ac:dyDescent="0.3">
      <c r="A31" t="s">
        <v>243</v>
      </c>
      <c r="B31" s="1">
        <v>45766</v>
      </c>
      <c r="C31" t="s">
        <v>180</v>
      </c>
      <c r="D31" t="s">
        <v>36</v>
      </c>
      <c r="E31" t="s">
        <v>61</v>
      </c>
      <c r="F31" t="s">
        <v>61</v>
      </c>
      <c r="G31" t="s">
        <v>61</v>
      </c>
      <c r="H31" t="s">
        <v>59</v>
      </c>
      <c r="I31">
        <v>179</v>
      </c>
      <c r="J31">
        <v>180</v>
      </c>
      <c r="K31">
        <v>6</v>
      </c>
      <c r="L31">
        <v>5</v>
      </c>
      <c r="M31">
        <v>20</v>
      </c>
      <c r="N31">
        <v>19.2</v>
      </c>
    </row>
    <row r="32" spans="1:14" x14ac:dyDescent="0.3">
      <c r="A32" t="s">
        <v>244</v>
      </c>
      <c r="B32" s="1">
        <v>45767</v>
      </c>
      <c r="C32" t="s">
        <v>182</v>
      </c>
      <c r="D32" t="s">
        <v>49</v>
      </c>
      <c r="E32" t="s">
        <v>10</v>
      </c>
      <c r="F32" t="s">
        <v>10</v>
      </c>
      <c r="G32" t="s">
        <v>49</v>
      </c>
      <c r="H32" t="s">
        <v>56</v>
      </c>
      <c r="I32">
        <v>195</v>
      </c>
      <c r="J32">
        <v>190</v>
      </c>
      <c r="K32">
        <v>4</v>
      </c>
      <c r="L32">
        <v>8</v>
      </c>
      <c r="M32">
        <v>20</v>
      </c>
      <c r="N32">
        <v>20</v>
      </c>
    </row>
    <row r="33" spans="1:14" x14ac:dyDescent="0.3">
      <c r="A33" t="s">
        <v>245</v>
      </c>
      <c r="B33" s="1">
        <v>45768</v>
      </c>
      <c r="C33" t="s">
        <v>186</v>
      </c>
      <c r="D33" t="s">
        <v>73</v>
      </c>
      <c r="E33" t="s">
        <v>86</v>
      </c>
      <c r="F33" t="s">
        <v>86</v>
      </c>
      <c r="G33" t="s">
        <v>73</v>
      </c>
      <c r="H33" t="s">
        <v>81</v>
      </c>
      <c r="I33">
        <v>170</v>
      </c>
      <c r="J33">
        <v>169</v>
      </c>
      <c r="K33">
        <v>6</v>
      </c>
      <c r="L33">
        <v>7</v>
      </c>
      <c r="M33">
        <v>20</v>
      </c>
      <c r="N33">
        <v>20</v>
      </c>
    </row>
    <row r="34" spans="1:14" x14ac:dyDescent="0.3">
      <c r="A34" t="s">
        <v>246</v>
      </c>
      <c r="B34" s="1">
        <v>45769</v>
      </c>
      <c r="C34" t="s">
        <v>190</v>
      </c>
      <c r="D34" t="s">
        <v>100</v>
      </c>
      <c r="E34" t="s">
        <v>36</v>
      </c>
      <c r="F34" t="s">
        <v>100</v>
      </c>
      <c r="G34" t="s">
        <v>100</v>
      </c>
      <c r="H34" t="s">
        <v>107</v>
      </c>
      <c r="I34">
        <v>182</v>
      </c>
      <c r="J34">
        <v>175</v>
      </c>
      <c r="K34">
        <v>5</v>
      </c>
      <c r="L34">
        <v>9</v>
      </c>
      <c r="M34">
        <v>20</v>
      </c>
      <c r="N34">
        <v>20</v>
      </c>
    </row>
    <row r="35" spans="1:14" x14ac:dyDescent="0.3">
      <c r="A35" t="s">
        <v>247</v>
      </c>
      <c r="B35" s="1">
        <v>45770</v>
      </c>
      <c r="C35" t="s">
        <v>184</v>
      </c>
      <c r="D35" t="s">
        <v>61</v>
      </c>
      <c r="E35" t="s">
        <v>73</v>
      </c>
      <c r="F35" t="s">
        <v>73</v>
      </c>
      <c r="G35" t="s">
        <v>61</v>
      </c>
      <c r="H35" t="s">
        <v>63</v>
      </c>
      <c r="I35">
        <v>185</v>
      </c>
      <c r="J35">
        <v>178</v>
      </c>
      <c r="K35">
        <v>7</v>
      </c>
      <c r="L35">
        <v>9</v>
      </c>
      <c r="M35">
        <v>20</v>
      </c>
      <c r="N35">
        <v>20</v>
      </c>
    </row>
    <row r="36" spans="1:14" x14ac:dyDescent="0.3">
      <c r="A36" t="s">
        <v>248</v>
      </c>
      <c r="B36" s="1">
        <v>45771</v>
      </c>
      <c r="C36" t="s">
        <v>191</v>
      </c>
      <c r="D36" t="s">
        <v>113</v>
      </c>
      <c r="E36" t="s">
        <v>49</v>
      </c>
      <c r="F36" t="s">
        <v>113</v>
      </c>
      <c r="G36" t="s">
        <v>113</v>
      </c>
      <c r="H36" t="s">
        <v>117</v>
      </c>
      <c r="I36">
        <v>197</v>
      </c>
      <c r="J36">
        <v>196</v>
      </c>
      <c r="K36">
        <v>5</v>
      </c>
      <c r="L36">
        <v>8</v>
      </c>
      <c r="M36">
        <v>20</v>
      </c>
      <c r="N36">
        <v>20</v>
      </c>
    </row>
    <row r="37" spans="1:14" x14ac:dyDescent="0.3">
      <c r="A37" t="s">
        <v>249</v>
      </c>
      <c r="B37" s="1">
        <v>45772</v>
      </c>
      <c r="C37" t="s">
        <v>178</v>
      </c>
      <c r="D37" t="s">
        <v>10</v>
      </c>
      <c r="E37" t="s">
        <v>100</v>
      </c>
      <c r="F37" t="s">
        <v>100</v>
      </c>
      <c r="G37" t="s">
        <v>10</v>
      </c>
      <c r="H37" t="s">
        <v>31</v>
      </c>
      <c r="I37">
        <v>176</v>
      </c>
      <c r="J37">
        <v>172</v>
      </c>
      <c r="K37">
        <v>4</v>
      </c>
      <c r="L37">
        <v>8</v>
      </c>
      <c r="M37">
        <v>20</v>
      </c>
      <c r="N37">
        <v>20</v>
      </c>
    </row>
    <row r="38" spans="1:14" x14ac:dyDescent="0.3">
      <c r="A38" t="s">
        <v>250</v>
      </c>
      <c r="B38" s="1">
        <v>45773</v>
      </c>
      <c r="C38" t="s">
        <v>188</v>
      </c>
      <c r="D38" t="s">
        <v>86</v>
      </c>
      <c r="E38" t="s">
        <v>113</v>
      </c>
      <c r="F38" t="s">
        <v>113</v>
      </c>
      <c r="G38" t="s">
        <v>86</v>
      </c>
      <c r="H38" t="s">
        <v>91</v>
      </c>
      <c r="I38">
        <v>153</v>
      </c>
      <c r="J38">
        <v>150</v>
      </c>
      <c r="K38">
        <v>8</v>
      </c>
      <c r="L38">
        <v>10</v>
      </c>
      <c r="M38">
        <v>20</v>
      </c>
      <c r="N38">
        <v>19.3</v>
      </c>
    </row>
    <row r="39" spans="1:14" x14ac:dyDescent="0.3">
      <c r="A39" t="s">
        <v>251</v>
      </c>
      <c r="B39" s="1">
        <v>45774</v>
      </c>
      <c r="C39" t="s">
        <v>180</v>
      </c>
      <c r="D39" t="s">
        <v>36</v>
      </c>
      <c r="E39" t="s">
        <v>73</v>
      </c>
      <c r="F39" t="s">
        <v>73</v>
      </c>
      <c r="G39" t="s">
        <v>36</v>
      </c>
      <c r="H39" t="s">
        <v>37</v>
      </c>
      <c r="I39">
        <v>163</v>
      </c>
      <c r="J39">
        <v>158</v>
      </c>
      <c r="K39">
        <v>7</v>
      </c>
      <c r="L39">
        <v>8</v>
      </c>
      <c r="M39">
        <v>20</v>
      </c>
      <c r="N39">
        <v>20</v>
      </c>
    </row>
    <row r="40" spans="1:14" x14ac:dyDescent="0.3">
      <c r="A40" t="s">
        <v>252</v>
      </c>
      <c r="B40" s="1">
        <v>45775</v>
      </c>
      <c r="C40" t="s">
        <v>182</v>
      </c>
      <c r="D40" t="s">
        <v>49</v>
      </c>
      <c r="E40" t="s">
        <v>61</v>
      </c>
      <c r="F40" t="s">
        <v>61</v>
      </c>
      <c r="G40" t="s">
        <v>49</v>
      </c>
      <c r="H40" t="s">
        <v>47</v>
      </c>
      <c r="I40">
        <v>200</v>
      </c>
      <c r="J40">
        <v>195</v>
      </c>
      <c r="K40">
        <v>5</v>
      </c>
      <c r="L40">
        <v>8</v>
      </c>
      <c r="M40">
        <v>20</v>
      </c>
      <c r="N40">
        <v>20</v>
      </c>
    </row>
    <row r="41" spans="1:14" x14ac:dyDescent="0.3">
      <c r="A41" t="s">
        <v>253</v>
      </c>
      <c r="B41" s="1">
        <v>45776</v>
      </c>
      <c r="C41" t="s">
        <v>190</v>
      </c>
      <c r="D41" t="s">
        <v>100</v>
      </c>
      <c r="E41" t="s">
        <v>86</v>
      </c>
      <c r="F41" t="s">
        <v>100</v>
      </c>
      <c r="G41" t="s">
        <v>86</v>
      </c>
      <c r="H41" t="s">
        <v>95</v>
      </c>
      <c r="I41">
        <v>180</v>
      </c>
      <c r="J41">
        <v>181</v>
      </c>
      <c r="K41">
        <v>7</v>
      </c>
      <c r="L41">
        <v>4</v>
      </c>
      <c r="M41">
        <v>20</v>
      </c>
      <c r="N41">
        <v>19.399999999999999</v>
      </c>
    </row>
    <row r="42" spans="1:14" x14ac:dyDescent="0.3">
      <c r="A42" t="s">
        <v>254</v>
      </c>
      <c r="B42" s="1">
        <v>45777</v>
      </c>
      <c r="C42" t="s">
        <v>191</v>
      </c>
      <c r="D42" t="s">
        <v>113</v>
      </c>
      <c r="E42" t="s">
        <v>10</v>
      </c>
      <c r="F42" t="s">
        <v>10</v>
      </c>
      <c r="G42" t="s">
        <v>113</v>
      </c>
      <c r="H42" t="s">
        <v>111</v>
      </c>
      <c r="I42">
        <v>174</v>
      </c>
      <c r="J42">
        <v>173</v>
      </c>
      <c r="K42">
        <v>6</v>
      </c>
      <c r="L42">
        <v>7</v>
      </c>
      <c r="M42">
        <v>20</v>
      </c>
      <c r="N42">
        <v>20</v>
      </c>
    </row>
    <row r="43" spans="1:14" x14ac:dyDescent="0.3">
      <c r="A43" t="s">
        <v>255</v>
      </c>
      <c r="B43" s="1">
        <v>45778</v>
      </c>
      <c r="C43" t="s">
        <v>186</v>
      </c>
      <c r="D43" t="s">
        <v>73</v>
      </c>
      <c r="E43" t="s">
        <v>36</v>
      </c>
      <c r="F43" t="s">
        <v>36</v>
      </c>
      <c r="G43" t="s">
        <v>73</v>
      </c>
      <c r="H43" t="s">
        <v>71</v>
      </c>
      <c r="I43">
        <v>187</v>
      </c>
      <c r="J43">
        <v>175</v>
      </c>
      <c r="K43">
        <v>4</v>
      </c>
      <c r="L43">
        <v>9</v>
      </c>
      <c r="M43">
        <v>20</v>
      </c>
      <c r="N43">
        <v>20</v>
      </c>
    </row>
    <row r="44" spans="1:14" x14ac:dyDescent="0.3">
      <c r="A44" t="s">
        <v>256</v>
      </c>
      <c r="B44" s="1">
        <v>45779</v>
      </c>
      <c r="C44" t="s">
        <v>178</v>
      </c>
      <c r="D44" t="s">
        <v>10</v>
      </c>
      <c r="E44" t="s">
        <v>49</v>
      </c>
      <c r="F44" t="s">
        <v>49</v>
      </c>
      <c r="G44" t="s">
        <v>49</v>
      </c>
      <c r="H44" t="s">
        <v>51</v>
      </c>
      <c r="I44">
        <v>162</v>
      </c>
      <c r="J44">
        <v>165</v>
      </c>
      <c r="K44">
        <v>9</v>
      </c>
      <c r="L44">
        <v>5</v>
      </c>
      <c r="M44">
        <v>20</v>
      </c>
      <c r="N44">
        <v>19.2</v>
      </c>
    </row>
    <row r="45" spans="1:14" x14ac:dyDescent="0.3">
      <c r="A45" t="s">
        <v>257</v>
      </c>
      <c r="B45" s="1">
        <v>45780</v>
      </c>
      <c r="C45" t="s">
        <v>184</v>
      </c>
      <c r="D45" t="s">
        <v>61</v>
      </c>
      <c r="E45" t="s">
        <v>86</v>
      </c>
      <c r="F45" t="s">
        <v>86</v>
      </c>
      <c r="G45" t="s">
        <v>61</v>
      </c>
      <c r="H45" t="s">
        <v>59</v>
      </c>
      <c r="I45">
        <v>196</v>
      </c>
      <c r="J45">
        <v>188</v>
      </c>
      <c r="K45">
        <v>3</v>
      </c>
      <c r="L45">
        <v>8</v>
      </c>
      <c r="M45">
        <v>20</v>
      </c>
      <c r="N45">
        <v>20</v>
      </c>
    </row>
    <row r="46" spans="1:14" x14ac:dyDescent="0.3">
      <c r="A46" t="s">
        <v>258</v>
      </c>
      <c r="B46" s="1">
        <v>45781</v>
      </c>
      <c r="C46" t="s">
        <v>191</v>
      </c>
      <c r="D46" t="s">
        <v>113</v>
      </c>
      <c r="E46" t="s">
        <v>73</v>
      </c>
      <c r="F46" t="s">
        <v>73</v>
      </c>
      <c r="G46" t="s">
        <v>113</v>
      </c>
      <c r="H46" t="s">
        <v>119</v>
      </c>
      <c r="I46">
        <v>184</v>
      </c>
      <c r="J46">
        <v>183</v>
      </c>
      <c r="K46">
        <v>7</v>
      </c>
      <c r="L46">
        <v>9</v>
      </c>
      <c r="M46">
        <v>20</v>
      </c>
      <c r="N46">
        <v>20</v>
      </c>
    </row>
    <row r="47" spans="1:14" x14ac:dyDescent="0.3">
      <c r="A47" t="s">
        <v>259</v>
      </c>
      <c r="B47" s="1">
        <v>45782</v>
      </c>
      <c r="C47" t="s">
        <v>180</v>
      </c>
      <c r="D47" t="s">
        <v>36</v>
      </c>
      <c r="E47" t="s">
        <v>86</v>
      </c>
      <c r="F47" t="s">
        <v>86</v>
      </c>
      <c r="G47" t="s">
        <v>36</v>
      </c>
      <c r="H47" t="s">
        <v>34</v>
      </c>
      <c r="I47">
        <v>192</v>
      </c>
      <c r="J47">
        <v>174</v>
      </c>
      <c r="K47">
        <v>4</v>
      </c>
      <c r="L47">
        <v>8</v>
      </c>
      <c r="M47">
        <v>20</v>
      </c>
      <c r="N47">
        <v>20</v>
      </c>
    </row>
    <row r="48" spans="1:14" x14ac:dyDescent="0.3">
      <c r="A48" t="s">
        <v>260</v>
      </c>
      <c r="B48" s="1">
        <v>45783</v>
      </c>
      <c r="C48" t="s">
        <v>190</v>
      </c>
      <c r="D48" t="s">
        <v>100</v>
      </c>
      <c r="E48" t="s">
        <v>61</v>
      </c>
      <c r="F48" t="s">
        <v>100</v>
      </c>
      <c r="G48" t="s">
        <v>61</v>
      </c>
      <c r="H48" t="s">
        <v>63</v>
      </c>
      <c r="I48">
        <v>208</v>
      </c>
      <c r="J48">
        <v>198</v>
      </c>
      <c r="K48">
        <v>6</v>
      </c>
      <c r="L48">
        <v>7</v>
      </c>
      <c r="M48">
        <v>20</v>
      </c>
      <c r="N48">
        <v>20</v>
      </c>
    </row>
    <row r="49" spans="1:14" x14ac:dyDescent="0.3">
      <c r="A49" t="s">
        <v>261</v>
      </c>
      <c r="B49" s="1">
        <v>45784</v>
      </c>
      <c r="C49" t="s">
        <v>182</v>
      </c>
      <c r="D49" t="s">
        <v>49</v>
      </c>
      <c r="E49" t="s">
        <v>10</v>
      </c>
      <c r="F49" t="s">
        <v>10</v>
      </c>
      <c r="G49" t="s">
        <v>86</v>
      </c>
      <c r="H49" t="s">
        <v>84</v>
      </c>
      <c r="I49">
        <v>193</v>
      </c>
      <c r="J49">
        <v>165</v>
      </c>
      <c r="K49">
        <v>5</v>
      </c>
      <c r="L49">
        <v>10</v>
      </c>
      <c r="M49">
        <v>20</v>
      </c>
      <c r="N49">
        <v>17.2</v>
      </c>
    </row>
    <row r="50" spans="1:14" x14ac:dyDescent="0.3">
      <c r="A50" t="s">
        <v>262</v>
      </c>
      <c r="B50" s="1">
        <v>45785</v>
      </c>
      <c r="C50" t="s">
        <v>186</v>
      </c>
      <c r="D50" t="s">
        <v>73</v>
      </c>
      <c r="E50" t="s">
        <v>49</v>
      </c>
      <c r="F50" t="s">
        <v>49</v>
      </c>
      <c r="G50" t="s">
        <v>86</v>
      </c>
      <c r="H50" t="s">
        <v>95</v>
      </c>
      <c r="I50">
        <v>181</v>
      </c>
      <c r="J50">
        <v>185</v>
      </c>
      <c r="K50">
        <v>5</v>
      </c>
      <c r="L50">
        <v>4</v>
      </c>
      <c r="M50">
        <v>20</v>
      </c>
      <c r="N50">
        <v>19.3</v>
      </c>
    </row>
    <row r="51" spans="1:14" x14ac:dyDescent="0.3">
      <c r="A51" t="s">
        <v>263</v>
      </c>
      <c r="B51" s="1">
        <v>45786</v>
      </c>
      <c r="C51" t="s">
        <v>188</v>
      </c>
      <c r="D51" t="s">
        <v>86</v>
      </c>
      <c r="E51" t="s">
        <v>36</v>
      </c>
      <c r="F51" t="s">
        <v>73</v>
      </c>
      <c r="G51" t="s">
        <v>61</v>
      </c>
      <c r="H51" t="s">
        <v>66</v>
      </c>
      <c r="I51">
        <v>164</v>
      </c>
      <c r="J51">
        <v>165</v>
      </c>
      <c r="K51">
        <v>8</v>
      </c>
      <c r="L51">
        <v>3</v>
      </c>
      <c r="M51">
        <v>20</v>
      </c>
      <c r="N51">
        <v>18.399999999999999</v>
      </c>
    </row>
    <row r="52" spans="1:14" x14ac:dyDescent="0.3">
      <c r="A52" t="s">
        <v>264</v>
      </c>
      <c r="B52" s="1">
        <v>45787</v>
      </c>
      <c r="C52" t="s">
        <v>178</v>
      </c>
      <c r="D52" t="s">
        <v>10</v>
      </c>
      <c r="E52" t="s">
        <v>36</v>
      </c>
      <c r="F52" t="s">
        <v>100</v>
      </c>
      <c r="G52" t="s">
        <v>36</v>
      </c>
      <c r="H52" t="s">
        <v>37</v>
      </c>
      <c r="I52">
        <v>178</v>
      </c>
      <c r="J52">
        <v>169</v>
      </c>
      <c r="K52">
        <v>6</v>
      </c>
      <c r="L52">
        <v>9</v>
      </c>
      <c r="M52">
        <v>20</v>
      </c>
      <c r="N52">
        <v>20</v>
      </c>
    </row>
    <row r="53" spans="1:14" x14ac:dyDescent="0.3">
      <c r="A53" t="s">
        <v>265</v>
      </c>
      <c r="B53" s="1">
        <v>45788</v>
      </c>
      <c r="C53" t="s">
        <v>184</v>
      </c>
      <c r="D53" t="s">
        <v>61</v>
      </c>
      <c r="E53" t="s">
        <v>113</v>
      </c>
      <c r="F53" t="s">
        <v>10</v>
      </c>
      <c r="G53" t="s">
        <v>113</v>
      </c>
      <c r="H53" t="s">
        <v>117</v>
      </c>
      <c r="I53">
        <v>154</v>
      </c>
      <c r="J53">
        <v>155</v>
      </c>
      <c r="K53">
        <v>10</v>
      </c>
      <c r="L53">
        <v>3</v>
      </c>
      <c r="M53">
        <v>19.5</v>
      </c>
      <c r="N53">
        <v>17</v>
      </c>
    </row>
    <row r="54" spans="1:14" x14ac:dyDescent="0.3">
      <c r="A54" t="s">
        <v>266</v>
      </c>
      <c r="B54" s="1">
        <v>45789</v>
      </c>
      <c r="C54" t="s">
        <v>191</v>
      </c>
      <c r="D54" t="s">
        <v>113</v>
      </c>
      <c r="E54" t="s">
        <v>49</v>
      </c>
      <c r="F54" t="s">
        <v>49</v>
      </c>
      <c r="G54" t="s">
        <v>61</v>
      </c>
      <c r="H54" t="s">
        <v>68</v>
      </c>
      <c r="I54">
        <v>171</v>
      </c>
      <c r="J54">
        <v>156</v>
      </c>
      <c r="K54">
        <v>5</v>
      </c>
      <c r="L54">
        <v>9</v>
      </c>
      <c r="M54">
        <v>20</v>
      </c>
      <c r="N54">
        <v>18.3</v>
      </c>
    </row>
    <row r="55" spans="1:14" x14ac:dyDescent="0.3">
      <c r="A55" t="s">
        <v>267</v>
      </c>
      <c r="B55" s="1">
        <v>45790</v>
      </c>
      <c r="C55" t="s">
        <v>190</v>
      </c>
      <c r="D55" t="s">
        <v>100</v>
      </c>
      <c r="E55" t="s">
        <v>73</v>
      </c>
      <c r="F55" t="s">
        <v>73</v>
      </c>
      <c r="G55" t="s">
        <v>73</v>
      </c>
      <c r="H55" t="s">
        <v>75</v>
      </c>
      <c r="I55">
        <v>149</v>
      </c>
      <c r="J55">
        <v>150</v>
      </c>
      <c r="K55">
        <v>9</v>
      </c>
      <c r="L55">
        <v>4</v>
      </c>
      <c r="M55">
        <v>20</v>
      </c>
      <c r="N55">
        <v>18.100000000000001</v>
      </c>
    </row>
    <row r="56" spans="1:14" x14ac:dyDescent="0.3">
      <c r="A56" t="s">
        <v>268</v>
      </c>
      <c r="B56" s="1">
        <v>45791</v>
      </c>
      <c r="C56" t="s">
        <v>182</v>
      </c>
      <c r="D56" t="s">
        <v>49</v>
      </c>
      <c r="E56" t="s">
        <v>86</v>
      </c>
      <c r="F56" t="s">
        <v>10</v>
      </c>
      <c r="G56" t="s">
        <v>100</v>
      </c>
      <c r="H56" t="s">
        <v>98</v>
      </c>
      <c r="I56">
        <v>177</v>
      </c>
      <c r="J56">
        <v>152</v>
      </c>
      <c r="K56">
        <v>7</v>
      </c>
      <c r="L56">
        <v>8</v>
      </c>
      <c r="M56">
        <v>20</v>
      </c>
      <c r="N56">
        <v>18.399999999999999</v>
      </c>
    </row>
    <row r="57" spans="1:14" x14ac:dyDescent="0.3">
      <c r="A57" t="s">
        <v>269</v>
      </c>
      <c r="B57" s="1">
        <v>45792</v>
      </c>
      <c r="C57" t="s">
        <v>178</v>
      </c>
      <c r="D57" t="s">
        <v>10</v>
      </c>
      <c r="E57" t="s">
        <v>61</v>
      </c>
      <c r="F57" t="s">
        <v>36</v>
      </c>
      <c r="G57" t="s">
        <v>36</v>
      </c>
      <c r="H57" t="s">
        <v>41</v>
      </c>
      <c r="I57">
        <v>161</v>
      </c>
      <c r="J57">
        <v>162</v>
      </c>
      <c r="K57">
        <v>8</v>
      </c>
      <c r="L57">
        <v>6</v>
      </c>
      <c r="M57">
        <v>20</v>
      </c>
      <c r="N57">
        <v>19.2</v>
      </c>
    </row>
    <row r="58" spans="1:14" x14ac:dyDescent="0.3">
      <c r="A58" t="s">
        <v>270</v>
      </c>
      <c r="B58" s="1">
        <v>45793</v>
      </c>
      <c r="C58" t="s">
        <v>180</v>
      </c>
      <c r="D58" t="s">
        <v>36</v>
      </c>
      <c r="E58" t="s">
        <v>113</v>
      </c>
      <c r="F58" t="s">
        <v>73</v>
      </c>
      <c r="G58" t="s">
        <v>49</v>
      </c>
      <c r="H58" t="s">
        <v>47</v>
      </c>
      <c r="I58">
        <v>198</v>
      </c>
      <c r="J58">
        <v>187</v>
      </c>
      <c r="K58">
        <v>3</v>
      </c>
      <c r="L58">
        <v>8</v>
      </c>
      <c r="M58">
        <v>20</v>
      </c>
      <c r="N58">
        <v>20</v>
      </c>
    </row>
    <row r="59" spans="1:14" x14ac:dyDescent="0.3">
      <c r="A59" t="s">
        <v>271</v>
      </c>
      <c r="B59" s="1">
        <v>45794</v>
      </c>
      <c r="C59" t="s">
        <v>186</v>
      </c>
      <c r="D59" t="s">
        <v>73</v>
      </c>
      <c r="E59" t="s">
        <v>86</v>
      </c>
      <c r="F59" t="s">
        <v>86</v>
      </c>
      <c r="G59" t="s">
        <v>10</v>
      </c>
      <c r="H59" t="s">
        <v>8</v>
      </c>
      <c r="I59">
        <v>188</v>
      </c>
      <c r="J59">
        <v>186</v>
      </c>
      <c r="K59">
        <v>6</v>
      </c>
      <c r="L59">
        <v>8</v>
      </c>
      <c r="M59">
        <v>20</v>
      </c>
      <c r="N59">
        <v>20</v>
      </c>
    </row>
    <row r="60" spans="1:14" x14ac:dyDescent="0.3">
      <c r="A60" t="s">
        <v>272</v>
      </c>
      <c r="B60" s="1">
        <v>45795</v>
      </c>
      <c r="C60" t="s">
        <v>184</v>
      </c>
      <c r="D60" t="s">
        <v>61</v>
      </c>
      <c r="E60" t="s">
        <v>100</v>
      </c>
      <c r="F60" t="s">
        <v>113</v>
      </c>
      <c r="G60" t="s">
        <v>113</v>
      </c>
      <c r="H60" t="s">
        <v>111</v>
      </c>
      <c r="I60">
        <v>169</v>
      </c>
      <c r="J60">
        <v>170</v>
      </c>
      <c r="K60">
        <v>8</v>
      </c>
      <c r="L60">
        <v>4</v>
      </c>
      <c r="M60">
        <v>20</v>
      </c>
      <c r="N60">
        <v>19.100000000000001</v>
      </c>
    </row>
    <row r="61" spans="1:14" x14ac:dyDescent="0.3">
      <c r="A61" t="s">
        <v>273</v>
      </c>
      <c r="B61" s="1">
        <v>45796</v>
      </c>
      <c r="C61" t="s">
        <v>188</v>
      </c>
      <c r="D61" t="s">
        <v>86</v>
      </c>
      <c r="E61" t="s">
        <v>10</v>
      </c>
      <c r="F61" t="s">
        <v>73</v>
      </c>
      <c r="G61" t="s">
        <v>100</v>
      </c>
      <c r="H61" t="s">
        <v>101</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ACBD9-7915-4B19-AC20-B6C6AA2E7202}">
  <dimension ref="A1:D11"/>
  <sheetViews>
    <sheetView topLeftCell="B1" workbookViewId="0"/>
  </sheetViews>
  <sheetFormatPr defaultRowHeight="14.4" x14ac:dyDescent="0.3"/>
  <cols>
    <col min="1" max="1" width="10.88671875" bestFit="1" customWidth="1"/>
    <col min="2" max="2" width="50.21875" bestFit="1" customWidth="1"/>
    <col min="3" max="4" width="10.6640625" bestFit="1" customWidth="1"/>
  </cols>
  <sheetData>
    <row r="1" spans="1:4" x14ac:dyDescent="0.3">
      <c r="A1" t="s">
        <v>175</v>
      </c>
      <c r="B1" t="s">
        <v>176</v>
      </c>
      <c r="C1" t="s">
        <v>125</v>
      </c>
      <c r="D1" t="s">
        <v>177</v>
      </c>
    </row>
    <row r="2" spans="1:4" x14ac:dyDescent="0.3">
      <c r="A2" t="s">
        <v>178</v>
      </c>
      <c r="B2" t="s">
        <v>130</v>
      </c>
      <c r="C2" t="s">
        <v>131</v>
      </c>
      <c r="D2" t="s">
        <v>179</v>
      </c>
    </row>
    <row r="3" spans="1:4" x14ac:dyDescent="0.3">
      <c r="A3" t="s">
        <v>180</v>
      </c>
      <c r="B3" t="s">
        <v>136</v>
      </c>
      <c r="C3" t="s">
        <v>137</v>
      </c>
      <c r="D3" t="s">
        <v>181</v>
      </c>
    </row>
    <row r="4" spans="1:4" x14ac:dyDescent="0.3">
      <c r="A4" t="s">
        <v>182</v>
      </c>
      <c r="B4" t="s">
        <v>142</v>
      </c>
      <c r="C4" t="s">
        <v>143</v>
      </c>
      <c r="D4" t="s">
        <v>183</v>
      </c>
    </row>
    <row r="5" spans="1:4" x14ac:dyDescent="0.3">
      <c r="A5" t="s">
        <v>184</v>
      </c>
      <c r="B5" t="s">
        <v>148</v>
      </c>
      <c r="C5" t="s">
        <v>149</v>
      </c>
      <c r="D5" t="s">
        <v>185</v>
      </c>
    </row>
    <row r="6" spans="1:4" x14ac:dyDescent="0.3">
      <c r="A6" t="s">
        <v>186</v>
      </c>
      <c r="B6" t="s">
        <v>154</v>
      </c>
      <c r="C6" t="s">
        <v>155</v>
      </c>
      <c r="D6" t="s">
        <v>187</v>
      </c>
    </row>
    <row r="7" spans="1:4" x14ac:dyDescent="0.3">
      <c r="A7" t="s">
        <v>188</v>
      </c>
      <c r="B7" t="s">
        <v>160</v>
      </c>
      <c r="C7" t="s">
        <v>161</v>
      </c>
      <c r="D7" t="s">
        <v>189</v>
      </c>
    </row>
    <row r="8" spans="1:4" x14ac:dyDescent="0.3">
      <c r="A8" t="s">
        <v>190</v>
      </c>
      <c r="B8" t="s">
        <v>166</v>
      </c>
      <c r="C8" t="s">
        <v>167</v>
      </c>
      <c r="D8" t="s">
        <v>181</v>
      </c>
    </row>
    <row r="9" spans="1:4" x14ac:dyDescent="0.3">
      <c r="A9" t="s">
        <v>191</v>
      </c>
      <c r="B9" t="s">
        <v>172</v>
      </c>
      <c r="C9" t="s">
        <v>173</v>
      </c>
      <c r="D9" t="s">
        <v>192</v>
      </c>
    </row>
    <row r="10" spans="1:4" x14ac:dyDescent="0.3">
      <c r="A10" t="s">
        <v>193</v>
      </c>
      <c r="B10" t="s">
        <v>194</v>
      </c>
      <c r="C10" t="s">
        <v>195</v>
      </c>
      <c r="D10" t="s">
        <v>196</v>
      </c>
    </row>
    <row r="11" spans="1:4" x14ac:dyDescent="0.3">
      <c r="A11" t="s">
        <v>197</v>
      </c>
      <c r="B11" t="s">
        <v>198</v>
      </c>
      <c r="C11" t="s">
        <v>199</v>
      </c>
      <c r="D11" t="s">
        <v>200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5A2F2-A92F-4187-910F-74AC984B28C0}">
  <dimension ref="A1:G9"/>
  <sheetViews>
    <sheetView workbookViewId="0"/>
  </sheetViews>
  <sheetFormatPr defaultRowHeight="14.4" x14ac:dyDescent="0.3"/>
  <cols>
    <col min="1" max="1" width="10.33203125" bestFit="1" customWidth="1"/>
    <col min="2" max="2" width="29" bestFit="1" customWidth="1"/>
    <col min="3" max="3" width="14.21875" bestFit="1" customWidth="1"/>
    <col min="4" max="4" width="16.88671875" bestFit="1" customWidth="1"/>
    <col min="5" max="5" width="39.109375" bestFit="1" customWidth="1"/>
    <col min="6" max="6" width="9.77734375" bestFit="1" customWidth="1"/>
    <col min="7" max="7" width="16.33203125" bestFit="1" customWidth="1"/>
  </cols>
  <sheetData>
    <row r="1" spans="1:7" x14ac:dyDescent="0.3">
      <c r="A1" t="s">
        <v>2</v>
      </c>
      <c r="B1" t="s">
        <v>121</v>
      </c>
      <c r="C1" t="s">
        <v>122</v>
      </c>
      <c r="D1" t="s">
        <v>123</v>
      </c>
      <c r="E1" t="s">
        <v>124</v>
      </c>
      <c r="F1" t="s">
        <v>125</v>
      </c>
      <c r="G1" t="s">
        <v>126</v>
      </c>
    </row>
    <row r="2" spans="1:7" x14ac:dyDescent="0.3">
      <c r="A2" t="s">
        <v>10</v>
      </c>
      <c r="B2" t="s">
        <v>127</v>
      </c>
      <c r="C2" t="s">
        <v>128</v>
      </c>
      <c r="D2" t="s">
        <v>129</v>
      </c>
      <c r="E2" t="s">
        <v>130</v>
      </c>
      <c r="F2" t="s">
        <v>131</v>
      </c>
      <c r="G2" t="s">
        <v>132</v>
      </c>
    </row>
    <row r="3" spans="1:7" x14ac:dyDescent="0.3">
      <c r="A3" t="s">
        <v>36</v>
      </c>
      <c r="B3" t="s">
        <v>133</v>
      </c>
      <c r="C3" t="s">
        <v>134</v>
      </c>
      <c r="D3" t="s">
        <v>135</v>
      </c>
      <c r="E3" t="s">
        <v>136</v>
      </c>
      <c r="F3" t="s">
        <v>137</v>
      </c>
      <c r="G3" t="s">
        <v>138</v>
      </c>
    </row>
    <row r="4" spans="1:7" x14ac:dyDescent="0.3">
      <c r="A4" t="s">
        <v>49</v>
      </c>
      <c r="B4" t="s">
        <v>139</v>
      </c>
      <c r="C4" t="s">
        <v>140</v>
      </c>
      <c r="D4" t="s">
        <v>141</v>
      </c>
      <c r="E4" t="s">
        <v>142</v>
      </c>
      <c r="F4" t="s">
        <v>143</v>
      </c>
      <c r="G4" t="s">
        <v>144</v>
      </c>
    </row>
    <row r="5" spans="1:7" x14ac:dyDescent="0.3">
      <c r="A5" t="s">
        <v>61</v>
      </c>
      <c r="B5" t="s">
        <v>145</v>
      </c>
      <c r="C5" t="s">
        <v>146</v>
      </c>
      <c r="D5" t="s">
        <v>147</v>
      </c>
      <c r="E5" t="s">
        <v>148</v>
      </c>
      <c r="F5" t="s">
        <v>149</v>
      </c>
      <c r="G5" t="s">
        <v>150</v>
      </c>
    </row>
    <row r="6" spans="1:7" x14ac:dyDescent="0.3">
      <c r="A6" t="s">
        <v>73</v>
      </c>
      <c r="B6" t="s">
        <v>151</v>
      </c>
      <c r="C6" t="s">
        <v>152</v>
      </c>
      <c r="D6" t="s">
        <v>153</v>
      </c>
      <c r="E6" t="s">
        <v>154</v>
      </c>
      <c r="F6" t="s">
        <v>155</v>
      </c>
      <c r="G6" t="s">
        <v>156</v>
      </c>
    </row>
    <row r="7" spans="1:7" x14ac:dyDescent="0.3">
      <c r="A7" t="s">
        <v>86</v>
      </c>
      <c r="B7" t="s">
        <v>157</v>
      </c>
      <c r="C7" t="s">
        <v>158</v>
      </c>
      <c r="D7" t="s">
        <v>159</v>
      </c>
      <c r="E7" t="s">
        <v>160</v>
      </c>
      <c r="F7" t="s">
        <v>161</v>
      </c>
      <c r="G7" t="s">
        <v>162</v>
      </c>
    </row>
    <row r="8" spans="1:7" x14ac:dyDescent="0.3">
      <c r="A8" t="s">
        <v>100</v>
      </c>
      <c r="B8" t="s">
        <v>163</v>
      </c>
      <c r="C8" t="s">
        <v>164</v>
      </c>
      <c r="D8" t="s">
        <v>165</v>
      </c>
      <c r="E8" t="s">
        <v>166</v>
      </c>
      <c r="F8" t="s">
        <v>167</v>
      </c>
      <c r="G8" t="s">
        <v>168</v>
      </c>
    </row>
    <row r="9" spans="1:7" x14ac:dyDescent="0.3">
      <c r="A9" t="s">
        <v>113</v>
      </c>
      <c r="B9" t="s">
        <v>169</v>
      </c>
      <c r="C9" t="s">
        <v>170</v>
      </c>
      <c r="D9" t="s">
        <v>171</v>
      </c>
      <c r="E9" t="s">
        <v>172</v>
      </c>
      <c r="F9" t="s">
        <v>173</v>
      </c>
      <c r="G9" t="s">
        <v>174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AB71-C365-470F-9FAD-F2F16B5B81BB}">
  <dimension ref="A1:H34"/>
  <sheetViews>
    <sheetView workbookViewId="0"/>
  </sheetViews>
  <sheetFormatPr defaultRowHeight="14.4" x14ac:dyDescent="0.3"/>
  <cols>
    <col min="1" max="1" width="11" bestFit="1" customWidth="1"/>
    <col min="2" max="2" width="18.21875" bestFit="1" customWidth="1"/>
    <col min="3" max="3" width="10.33203125" bestFit="1" customWidth="1"/>
    <col min="4" max="4" width="12.109375" bestFit="1" customWidth="1"/>
    <col min="5" max="5" width="13.109375" bestFit="1" customWidth="1"/>
    <col min="6" max="6" width="6.21875" bestFit="1" customWidth="1"/>
    <col min="7" max="7" width="14.109375" bestFit="1" customWidth="1"/>
    <col min="8" max="8" width="20"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10</v>
      </c>
      <c r="D3" t="s">
        <v>18</v>
      </c>
      <c r="E3" t="s">
        <v>12</v>
      </c>
      <c r="F3" t="s">
        <v>19</v>
      </c>
      <c r="G3" t="s">
        <v>14</v>
      </c>
      <c r="H3" t="s">
        <v>20</v>
      </c>
    </row>
    <row r="4" spans="1:8" x14ac:dyDescent="0.3">
      <c r="A4" t="s">
        <v>21</v>
      </c>
      <c r="B4" t="s">
        <v>22</v>
      </c>
      <c r="C4" t="s">
        <v>10</v>
      </c>
      <c r="D4" t="s">
        <v>23</v>
      </c>
      <c r="E4" t="s">
        <v>12</v>
      </c>
      <c r="F4" t="s">
        <v>24</v>
      </c>
      <c r="G4" t="s">
        <v>25</v>
      </c>
      <c r="H4" t="s">
        <v>26</v>
      </c>
    </row>
    <row r="5" spans="1:8" x14ac:dyDescent="0.3">
      <c r="A5" t="s">
        <v>27</v>
      </c>
      <c r="B5" t="s">
        <v>28</v>
      </c>
      <c r="C5" t="s">
        <v>10</v>
      </c>
      <c r="D5" t="s">
        <v>29</v>
      </c>
      <c r="E5" t="s">
        <v>12</v>
      </c>
      <c r="F5" t="s">
        <v>30</v>
      </c>
      <c r="G5" t="s">
        <v>25</v>
      </c>
      <c r="H5" t="s">
        <v>15</v>
      </c>
    </row>
    <row r="6" spans="1:8" x14ac:dyDescent="0.3">
      <c r="A6" t="s">
        <v>31</v>
      </c>
      <c r="B6" t="s">
        <v>32</v>
      </c>
      <c r="C6" t="s">
        <v>10</v>
      </c>
      <c r="D6" t="s">
        <v>29</v>
      </c>
      <c r="E6" t="s">
        <v>12</v>
      </c>
      <c r="F6" t="s">
        <v>19</v>
      </c>
      <c r="G6" t="s">
        <v>14</v>
      </c>
      <c r="H6" t="s">
        <v>33</v>
      </c>
    </row>
    <row r="7" spans="1:8" x14ac:dyDescent="0.3">
      <c r="A7" t="s">
        <v>34</v>
      </c>
      <c r="B7" t="s">
        <v>35</v>
      </c>
      <c r="C7" t="s">
        <v>36</v>
      </c>
      <c r="D7" t="s">
        <v>29</v>
      </c>
      <c r="E7" t="s">
        <v>12</v>
      </c>
      <c r="F7" t="s">
        <v>19</v>
      </c>
      <c r="G7" t="s">
        <v>25</v>
      </c>
      <c r="H7" t="s">
        <v>33</v>
      </c>
    </row>
    <row r="8" spans="1:8" x14ac:dyDescent="0.3">
      <c r="A8" t="s">
        <v>37</v>
      </c>
      <c r="B8" t="s">
        <v>38</v>
      </c>
      <c r="C8" t="s">
        <v>36</v>
      </c>
      <c r="D8" t="s">
        <v>18</v>
      </c>
      <c r="E8" t="s">
        <v>12</v>
      </c>
      <c r="F8" t="s">
        <v>39</v>
      </c>
      <c r="G8" t="s">
        <v>14</v>
      </c>
      <c r="H8" t="s">
        <v>40</v>
      </c>
    </row>
    <row r="9" spans="1:8" x14ac:dyDescent="0.3">
      <c r="A9" t="s">
        <v>41</v>
      </c>
      <c r="B9" t="s">
        <v>42</v>
      </c>
      <c r="C9" t="s">
        <v>36</v>
      </c>
      <c r="D9" t="s">
        <v>29</v>
      </c>
      <c r="E9" t="s">
        <v>43</v>
      </c>
      <c r="F9" t="s">
        <v>13</v>
      </c>
      <c r="G9" t="s">
        <v>14</v>
      </c>
      <c r="H9" t="s">
        <v>33</v>
      </c>
    </row>
    <row r="10" spans="1:8" x14ac:dyDescent="0.3">
      <c r="A10" t="s">
        <v>44</v>
      </c>
      <c r="B10" t="s">
        <v>45</v>
      </c>
      <c r="C10" t="s">
        <v>36</v>
      </c>
      <c r="D10" t="s">
        <v>18</v>
      </c>
      <c r="E10" t="s">
        <v>46</v>
      </c>
      <c r="F10" t="s">
        <v>30</v>
      </c>
      <c r="G10" t="s">
        <v>14</v>
      </c>
      <c r="H10" t="s">
        <v>20</v>
      </c>
    </row>
    <row r="11" spans="1:8" x14ac:dyDescent="0.3">
      <c r="A11" t="s">
        <v>47</v>
      </c>
      <c r="B11" t="s">
        <v>48</v>
      </c>
      <c r="C11" t="s">
        <v>49</v>
      </c>
      <c r="D11" t="s">
        <v>11</v>
      </c>
      <c r="E11" t="s">
        <v>12</v>
      </c>
      <c r="F11" t="s">
        <v>50</v>
      </c>
      <c r="G11" t="s">
        <v>14</v>
      </c>
      <c r="H11" t="s">
        <v>33</v>
      </c>
    </row>
    <row r="12" spans="1:8" x14ac:dyDescent="0.3">
      <c r="A12" t="s">
        <v>51</v>
      </c>
      <c r="B12" t="s">
        <v>52</v>
      </c>
      <c r="C12" t="s">
        <v>49</v>
      </c>
      <c r="D12" t="s">
        <v>18</v>
      </c>
      <c r="E12" t="s">
        <v>12</v>
      </c>
      <c r="F12" t="s">
        <v>19</v>
      </c>
      <c r="G12" t="s">
        <v>14</v>
      </c>
      <c r="H12" t="s">
        <v>20</v>
      </c>
    </row>
    <row r="13" spans="1:8" x14ac:dyDescent="0.3">
      <c r="A13" t="s">
        <v>53</v>
      </c>
      <c r="B13" t="s">
        <v>54</v>
      </c>
      <c r="C13" t="s">
        <v>49</v>
      </c>
      <c r="D13" t="s">
        <v>29</v>
      </c>
      <c r="E13" t="s">
        <v>55</v>
      </c>
      <c r="F13" t="s">
        <v>50</v>
      </c>
      <c r="G13" t="s">
        <v>14</v>
      </c>
      <c r="H13" t="s">
        <v>15</v>
      </c>
    </row>
    <row r="14" spans="1:8" x14ac:dyDescent="0.3">
      <c r="A14" t="s">
        <v>56</v>
      </c>
      <c r="B14" t="s">
        <v>57</v>
      </c>
      <c r="C14" t="s">
        <v>49</v>
      </c>
      <c r="D14" t="s">
        <v>23</v>
      </c>
      <c r="E14" t="s">
        <v>12</v>
      </c>
      <c r="F14" t="s">
        <v>58</v>
      </c>
      <c r="G14" t="s">
        <v>14</v>
      </c>
      <c r="H14" t="s">
        <v>26</v>
      </c>
    </row>
    <row r="15" spans="1:8" x14ac:dyDescent="0.3">
      <c r="A15" t="s">
        <v>59</v>
      </c>
      <c r="B15" t="s">
        <v>60</v>
      </c>
      <c r="C15" t="s">
        <v>61</v>
      </c>
      <c r="D15" t="s">
        <v>11</v>
      </c>
      <c r="E15" t="s">
        <v>12</v>
      </c>
      <c r="F15" t="s">
        <v>62</v>
      </c>
      <c r="G15" t="s">
        <v>25</v>
      </c>
      <c r="H15" t="s">
        <v>15</v>
      </c>
    </row>
    <row r="16" spans="1:8" x14ac:dyDescent="0.3">
      <c r="A16" t="s">
        <v>63</v>
      </c>
      <c r="B16" t="s">
        <v>64</v>
      </c>
      <c r="C16" t="s">
        <v>61</v>
      </c>
      <c r="D16" t="s">
        <v>29</v>
      </c>
      <c r="E16" t="s">
        <v>65</v>
      </c>
      <c r="F16" t="s">
        <v>50</v>
      </c>
      <c r="G16" t="s">
        <v>14</v>
      </c>
      <c r="H16" t="s">
        <v>20</v>
      </c>
    </row>
    <row r="17" spans="1:8" x14ac:dyDescent="0.3">
      <c r="A17" t="s">
        <v>66</v>
      </c>
      <c r="B17" t="s">
        <v>67</v>
      </c>
      <c r="C17" t="s">
        <v>61</v>
      </c>
      <c r="D17" t="s">
        <v>29</v>
      </c>
      <c r="E17" t="s">
        <v>65</v>
      </c>
      <c r="F17" t="s">
        <v>50</v>
      </c>
      <c r="G17" t="s">
        <v>25</v>
      </c>
      <c r="H17" t="s">
        <v>15</v>
      </c>
    </row>
    <row r="18" spans="1:8" x14ac:dyDescent="0.3">
      <c r="A18" t="s">
        <v>68</v>
      </c>
      <c r="B18" t="s">
        <v>69</v>
      </c>
      <c r="C18" t="s">
        <v>61</v>
      </c>
      <c r="D18" t="s">
        <v>18</v>
      </c>
      <c r="E18" t="s">
        <v>12</v>
      </c>
      <c r="F18" t="s">
        <v>13</v>
      </c>
      <c r="G18" t="s">
        <v>14</v>
      </c>
      <c r="H18" t="s">
        <v>70</v>
      </c>
    </row>
    <row r="19" spans="1:8" x14ac:dyDescent="0.3">
      <c r="A19" t="s">
        <v>71</v>
      </c>
      <c r="B19" t="s">
        <v>72</v>
      </c>
      <c r="C19" t="s">
        <v>73</v>
      </c>
      <c r="D19" t="s">
        <v>11</v>
      </c>
      <c r="E19" t="s">
        <v>55</v>
      </c>
      <c r="F19" t="s">
        <v>74</v>
      </c>
      <c r="G19" t="s">
        <v>25</v>
      </c>
      <c r="H19" t="s">
        <v>70</v>
      </c>
    </row>
    <row r="20" spans="1:8" x14ac:dyDescent="0.3">
      <c r="A20" t="s">
        <v>75</v>
      </c>
      <c r="B20" t="s">
        <v>76</v>
      </c>
      <c r="C20" t="s">
        <v>73</v>
      </c>
      <c r="D20" t="s">
        <v>18</v>
      </c>
      <c r="E20" t="s">
        <v>12</v>
      </c>
      <c r="F20" t="s">
        <v>77</v>
      </c>
      <c r="G20" t="s">
        <v>25</v>
      </c>
      <c r="H20" t="s">
        <v>78</v>
      </c>
    </row>
    <row r="21" spans="1:8" x14ac:dyDescent="0.3">
      <c r="A21" t="s">
        <v>79</v>
      </c>
      <c r="B21" t="s">
        <v>80</v>
      </c>
      <c r="C21" t="s">
        <v>73</v>
      </c>
      <c r="D21" t="s">
        <v>29</v>
      </c>
      <c r="E21" t="s">
        <v>55</v>
      </c>
      <c r="F21" t="s">
        <v>13</v>
      </c>
      <c r="G21" t="s">
        <v>14</v>
      </c>
      <c r="H21" t="s">
        <v>33</v>
      </c>
    </row>
    <row r="22" spans="1:8" x14ac:dyDescent="0.3">
      <c r="A22" t="s">
        <v>81</v>
      </c>
      <c r="B22" t="s">
        <v>82</v>
      </c>
      <c r="C22" t="s">
        <v>73</v>
      </c>
      <c r="D22" t="s">
        <v>29</v>
      </c>
      <c r="E22" t="s">
        <v>12</v>
      </c>
      <c r="F22" t="s">
        <v>19</v>
      </c>
      <c r="G22" t="s">
        <v>25</v>
      </c>
      <c r="H22" t="s">
        <v>83</v>
      </c>
    </row>
    <row r="23" spans="1:8" x14ac:dyDescent="0.3">
      <c r="A23" t="s">
        <v>84</v>
      </c>
      <c r="B23" t="s">
        <v>85</v>
      </c>
      <c r="C23" t="s">
        <v>86</v>
      </c>
      <c r="D23" t="s">
        <v>23</v>
      </c>
      <c r="E23" t="s">
        <v>87</v>
      </c>
      <c r="F23" t="s">
        <v>88</v>
      </c>
      <c r="G23" t="s">
        <v>14</v>
      </c>
      <c r="H23" t="s">
        <v>26</v>
      </c>
    </row>
    <row r="24" spans="1:8" x14ac:dyDescent="0.3">
      <c r="A24" t="s">
        <v>89</v>
      </c>
      <c r="B24" t="s">
        <v>90</v>
      </c>
      <c r="C24" t="s">
        <v>86</v>
      </c>
      <c r="D24" t="s">
        <v>18</v>
      </c>
      <c r="E24" t="s">
        <v>12</v>
      </c>
      <c r="F24" t="s">
        <v>88</v>
      </c>
      <c r="G24" t="s">
        <v>14</v>
      </c>
      <c r="H24" t="s">
        <v>70</v>
      </c>
    </row>
    <row r="25" spans="1:8" x14ac:dyDescent="0.3">
      <c r="A25" t="s">
        <v>91</v>
      </c>
      <c r="B25" t="s">
        <v>92</v>
      </c>
      <c r="C25" t="s">
        <v>86</v>
      </c>
      <c r="D25" t="s">
        <v>18</v>
      </c>
      <c r="E25" t="s">
        <v>43</v>
      </c>
      <c r="F25" t="s">
        <v>93</v>
      </c>
      <c r="G25" t="s">
        <v>25</v>
      </c>
      <c r="H25" t="s">
        <v>94</v>
      </c>
    </row>
    <row r="26" spans="1:8" x14ac:dyDescent="0.3">
      <c r="A26" t="s">
        <v>95</v>
      </c>
      <c r="B26" t="s">
        <v>96</v>
      </c>
      <c r="C26" t="s">
        <v>86</v>
      </c>
      <c r="D26" t="s">
        <v>11</v>
      </c>
      <c r="E26" t="s">
        <v>12</v>
      </c>
      <c r="F26" t="s">
        <v>97</v>
      </c>
      <c r="G26" t="s">
        <v>25</v>
      </c>
      <c r="H26" t="s">
        <v>70</v>
      </c>
    </row>
    <row r="27" spans="1:8" x14ac:dyDescent="0.3">
      <c r="A27" t="s">
        <v>98</v>
      </c>
      <c r="B27" t="s">
        <v>99</v>
      </c>
      <c r="C27" t="s">
        <v>100</v>
      </c>
      <c r="D27" t="s">
        <v>29</v>
      </c>
      <c r="E27" t="s">
        <v>87</v>
      </c>
      <c r="F27" t="s">
        <v>19</v>
      </c>
      <c r="G27" t="s">
        <v>14</v>
      </c>
      <c r="H27" t="s">
        <v>70</v>
      </c>
    </row>
    <row r="28" spans="1:8" x14ac:dyDescent="0.3">
      <c r="A28" t="s">
        <v>101</v>
      </c>
      <c r="B28" t="s">
        <v>102</v>
      </c>
      <c r="C28" t="s">
        <v>100</v>
      </c>
      <c r="D28" t="s">
        <v>18</v>
      </c>
      <c r="E28" t="s">
        <v>12</v>
      </c>
      <c r="F28" t="s">
        <v>103</v>
      </c>
      <c r="G28" t="s">
        <v>25</v>
      </c>
      <c r="H28" t="s">
        <v>104</v>
      </c>
    </row>
    <row r="29" spans="1:8" x14ac:dyDescent="0.3">
      <c r="A29" t="s">
        <v>105</v>
      </c>
      <c r="B29" t="s">
        <v>106</v>
      </c>
      <c r="C29" t="s">
        <v>100</v>
      </c>
      <c r="D29" t="s">
        <v>23</v>
      </c>
      <c r="E29" t="s">
        <v>12</v>
      </c>
      <c r="F29" t="s">
        <v>19</v>
      </c>
      <c r="G29" t="s">
        <v>14</v>
      </c>
      <c r="H29" t="s">
        <v>26</v>
      </c>
    </row>
    <row r="30" spans="1:8" x14ac:dyDescent="0.3">
      <c r="A30" t="s">
        <v>107</v>
      </c>
      <c r="B30" t="s">
        <v>108</v>
      </c>
      <c r="C30" t="s">
        <v>100</v>
      </c>
      <c r="D30" t="s">
        <v>18</v>
      </c>
      <c r="E30" t="s">
        <v>109</v>
      </c>
      <c r="F30" t="s">
        <v>110</v>
      </c>
      <c r="G30" t="s">
        <v>14</v>
      </c>
      <c r="H30" t="s">
        <v>20</v>
      </c>
    </row>
    <row r="31" spans="1:8" x14ac:dyDescent="0.3">
      <c r="A31" t="s">
        <v>111</v>
      </c>
      <c r="B31" t="s">
        <v>112</v>
      </c>
      <c r="C31" t="s">
        <v>113</v>
      </c>
      <c r="D31" t="s">
        <v>11</v>
      </c>
      <c r="E31" t="s">
        <v>12</v>
      </c>
      <c r="F31" t="s">
        <v>114</v>
      </c>
      <c r="G31" t="s">
        <v>25</v>
      </c>
      <c r="H31" t="s">
        <v>83</v>
      </c>
    </row>
    <row r="32" spans="1:8" x14ac:dyDescent="0.3">
      <c r="A32" t="s">
        <v>115</v>
      </c>
      <c r="B32" t="s">
        <v>116</v>
      </c>
      <c r="C32" t="s">
        <v>113</v>
      </c>
      <c r="D32" t="s">
        <v>18</v>
      </c>
      <c r="E32" t="s">
        <v>12</v>
      </c>
      <c r="F32" t="s">
        <v>93</v>
      </c>
      <c r="G32" t="s">
        <v>14</v>
      </c>
      <c r="H32" t="s">
        <v>33</v>
      </c>
    </row>
    <row r="33" spans="1:8" x14ac:dyDescent="0.3">
      <c r="A33" t="s">
        <v>117</v>
      </c>
      <c r="B33" t="s">
        <v>118</v>
      </c>
      <c r="C33" t="s">
        <v>113</v>
      </c>
      <c r="D33" t="s">
        <v>23</v>
      </c>
      <c r="E33" t="s">
        <v>109</v>
      </c>
      <c r="F33" t="s">
        <v>13</v>
      </c>
      <c r="G33" t="s">
        <v>14</v>
      </c>
      <c r="H33" t="s">
        <v>15</v>
      </c>
    </row>
    <row r="34" spans="1:8" x14ac:dyDescent="0.3">
      <c r="A34" t="s">
        <v>119</v>
      </c>
      <c r="B34" t="s">
        <v>120</v>
      </c>
      <c r="C34" t="s">
        <v>113</v>
      </c>
      <c r="D34" t="s">
        <v>11</v>
      </c>
      <c r="E34" t="s">
        <v>55</v>
      </c>
      <c r="F34" t="s">
        <v>19</v>
      </c>
      <c r="G34" t="s">
        <v>25</v>
      </c>
      <c r="H34"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D295F4B8-D202-4354-82AD-CFBFFEB74932}">
  <ds:schemaRefs/>
</ds:datastoreItem>
</file>

<file path=customXml/itemProps2.xml><?xml version="1.0" encoding="utf-8"?>
<ds:datastoreItem xmlns:ds="http://schemas.openxmlformats.org/officeDocument/2006/customXml" ds:itemID="{6D627232-0028-4F82-A8A3-DBC699DFD44C}">
  <ds:schemaRefs/>
</ds:datastoreItem>
</file>

<file path=customXml/itemProps3.xml><?xml version="1.0" encoding="utf-8"?>
<ds:datastoreItem xmlns:ds="http://schemas.openxmlformats.org/officeDocument/2006/customXml" ds:itemID="{F8622179-2FC9-431B-90C3-0759EE300234}">
  <ds:schemaRefs/>
</ds:datastoreItem>
</file>

<file path=customXml/itemProps4.xml><?xml version="1.0" encoding="utf-8"?>
<ds:datastoreItem xmlns:ds="http://schemas.openxmlformats.org/officeDocument/2006/customXml" ds:itemID="{9347E4BC-7A61-460A-9B84-AC47A1637E7D}">
  <ds:schemaRefs/>
</ds:datastoreItem>
</file>

<file path=customXml/itemProps5.xml><?xml version="1.0" encoding="utf-8"?>
<ds:datastoreItem xmlns:ds="http://schemas.openxmlformats.org/officeDocument/2006/customXml" ds:itemID="{9810E30C-20A1-454F-837D-0F911D6A349C}">
  <ds:schemaRefs/>
</ds:datastoreItem>
</file>

<file path=customXml/itemProps6.xml><?xml version="1.0" encoding="utf-8"?>
<ds:datastoreItem xmlns:ds="http://schemas.openxmlformats.org/officeDocument/2006/customXml" ds:itemID="{35689B04-B781-4883-B212-EF84C11B81C2}">
  <ds:schemaRefs>
    <ds:schemaRef ds:uri="http://schemas.microsoft.com/DataMashup"/>
  </ds:schemaRefs>
</ds:datastoreItem>
</file>

<file path=customXml/itemProps7.xml><?xml version="1.0" encoding="utf-8"?>
<ds:datastoreItem xmlns:ds="http://schemas.openxmlformats.org/officeDocument/2006/customXml" ds:itemID="{8625C5B1-EC47-410E-B0E6-BE8133A49943}">
  <ds:schemaRefs/>
</ds:datastoreItem>
</file>

<file path=customXml/itemProps8.xml><?xml version="1.0" encoding="utf-8"?>
<ds:datastoreItem xmlns:ds="http://schemas.openxmlformats.org/officeDocument/2006/customXml" ds:itemID="{664009F5-5E44-4112-82A8-434434E99ACD}">
  <ds:schemaRefs/>
</ds:datastoreItem>
</file>

<file path=customXml/itemProps9.xml><?xml version="1.0" encoding="utf-8"?>
<ds:datastoreItem xmlns:ds="http://schemas.openxmlformats.org/officeDocument/2006/customXml" ds:itemID="{9EF0DC57-767F-440F-B9A0-2E5F32DA5D72}">
  <ds:schemaRefs/>
</ds:datastoreItem>
</file>

<file path=customXml/itemProps10.xml><?xml version="1.0" encoding="utf-8"?>
<ds:datastoreItem xmlns:ds="http://schemas.openxmlformats.org/officeDocument/2006/customXml" ds:itemID="{A714935F-307E-4FF8-9A00-6C8F850069FB}">
  <ds:schemaRefs/>
</ds:datastoreItem>
</file>

<file path=customXml/itemProps11.xml><?xml version="1.0" encoding="utf-8"?>
<ds:datastoreItem xmlns:ds="http://schemas.openxmlformats.org/officeDocument/2006/customXml" ds:itemID="{29C1DCD5-9A9D-4B8D-ABD7-64B85DAB31EA}">
  <ds:schemaRefs/>
</ds:datastoreItem>
</file>

<file path=customXml/itemProps12.xml><?xml version="1.0" encoding="utf-8"?>
<ds:datastoreItem xmlns:ds="http://schemas.openxmlformats.org/officeDocument/2006/customXml" ds:itemID="{B9C8660A-115E-4E5B-991C-E30BD9C2F216}">
  <ds:schemaRefs/>
</ds:datastoreItem>
</file>

<file path=customXml/itemProps13.xml><?xml version="1.0" encoding="utf-8"?>
<ds:datastoreItem xmlns:ds="http://schemas.openxmlformats.org/officeDocument/2006/customXml" ds:itemID="{F38A3FC1-B9B5-4273-B9EC-C337E54287C7}">
  <ds:schemaRefs/>
</ds:datastoreItem>
</file>

<file path=customXml/itemProps14.xml><?xml version="1.0" encoding="utf-8"?>
<ds:datastoreItem xmlns:ds="http://schemas.openxmlformats.org/officeDocument/2006/customXml" ds:itemID="{1E34670B-52FD-4E0B-B084-F3F405DF7F91}">
  <ds:schemaRefs/>
</ds:datastoreItem>
</file>

<file path=customXml/itemProps15.xml><?xml version="1.0" encoding="utf-8"?>
<ds:datastoreItem xmlns:ds="http://schemas.openxmlformats.org/officeDocument/2006/customXml" ds:itemID="{C713226B-8971-4A65-B489-692A58C47924}">
  <ds:schemaRefs/>
</ds:datastoreItem>
</file>

<file path=customXml/itemProps16.xml><?xml version="1.0" encoding="utf-8"?>
<ds:datastoreItem xmlns:ds="http://schemas.openxmlformats.org/officeDocument/2006/customXml" ds:itemID="{C704038F-ACD4-4026-800F-2D1AF4D37FBD}">
  <ds:schemaRefs/>
</ds:datastoreItem>
</file>

<file path=customXml/itemProps17.xml><?xml version="1.0" encoding="utf-8"?>
<ds:datastoreItem xmlns:ds="http://schemas.openxmlformats.org/officeDocument/2006/customXml" ds:itemID="{DC4030FD-ECA5-4BE0-BDA9-67E1D6208F22}">
  <ds:schemaRefs/>
</ds:datastoreItem>
</file>

<file path=customXml/itemProps18.xml><?xml version="1.0" encoding="utf-8"?>
<ds:datastoreItem xmlns:ds="http://schemas.openxmlformats.org/officeDocument/2006/customXml" ds:itemID="{E4151A76-E9AA-40F0-BADE-35FDD36701A0}">
  <ds:schemaRefs/>
</ds:datastoreItem>
</file>

<file path=customXml/itemProps19.xml><?xml version="1.0" encoding="utf-8"?>
<ds:datastoreItem xmlns:ds="http://schemas.openxmlformats.org/officeDocument/2006/customXml" ds:itemID="{A0E0F819-6620-493D-9105-B893358F469F}">
  <ds:schemaRefs/>
</ds:datastoreItem>
</file>

<file path=customXml/itemProps20.xml><?xml version="1.0" encoding="utf-8"?>
<ds:datastoreItem xmlns:ds="http://schemas.openxmlformats.org/officeDocument/2006/customXml" ds:itemID="{F7153E31-3403-448B-A682-5F2F87F6D7CF}">
  <ds:schemaRefs/>
</ds:datastoreItem>
</file>

<file path=customXml/itemProps21.xml><?xml version="1.0" encoding="utf-8"?>
<ds:datastoreItem xmlns:ds="http://schemas.openxmlformats.org/officeDocument/2006/customXml" ds:itemID="{ECF22552-1B51-4F5C-A0E5-0C03C66AE8BF}">
  <ds:schemaRefs/>
</ds:datastoreItem>
</file>

<file path=customXml/itemProps22.xml><?xml version="1.0" encoding="utf-8"?>
<ds:datastoreItem xmlns:ds="http://schemas.openxmlformats.org/officeDocument/2006/customXml" ds:itemID="{80DCF1BC-A609-4EA4-BB6B-21D053A1940B}">
  <ds:schemaRefs/>
</ds:datastoreItem>
</file>

<file path=customXml/itemProps23.xml><?xml version="1.0" encoding="utf-8"?>
<ds:datastoreItem xmlns:ds="http://schemas.openxmlformats.org/officeDocument/2006/customXml" ds:itemID="{99BC1899-5D88-4F37-94AA-960E08FFCBC6}">
  <ds:schemaRefs/>
</ds:datastoreItem>
</file>

<file path=customXml/itemProps24.xml><?xml version="1.0" encoding="utf-8"?>
<ds:datastoreItem xmlns:ds="http://schemas.openxmlformats.org/officeDocument/2006/customXml" ds:itemID="{24ACD6D9-97F7-4770-85B4-DFAF1C0FAC27}">
  <ds:schemaRefs/>
</ds:datastoreItem>
</file>

<file path=customXml/itemProps25.xml><?xml version="1.0" encoding="utf-8"?>
<ds:datastoreItem xmlns:ds="http://schemas.openxmlformats.org/officeDocument/2006/customXml" ds:itemID="{ED665FD1-8F0C-41E4-8EF2-BCA9F4DDC4BE}">
  <ds:schemaRefs/>
</ds:datastoreItem>
</file>

<file path=customXml/itemProps26.xml><?xml version="1.0" encoding="utf-8"?>
<ds:datastoreItem xmlns:ds="http://schemas.openxmlformats.org/officeDocument/2006/customXml" ds:itemID="{80F9012C-4C43-4EFB-A9A5-A8ECC73857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Team Summary</vt:lpstr>
      <vt:lpstr>Player Sumary</vt:lpstr>
      <vt:lpstr>Team Performance Dashboard</vt:lpstr>
      <vt:lpstr>Player Peformance Dashboard</vt:lpstr>
      <vt:lpstr>fact_player</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Nilabh Anand</dc:creator>
  <cp:lastModifiedBy>Nilabh Anand</cp:lastModifiedBy>
  <dcterms:created xsi:type="dcterms:W3CDTF">2026-10-14T11:24:24Z</dcterms:created>
  <dcterms:modified xsi:type="dcterms:W3CDTF">2026-10-15T19:54:56Z</dcterms:modified>
</cp:coreProperties>
</file>